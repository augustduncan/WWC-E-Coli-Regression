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  <sheet state="visible" name="2026" sheetId="7" r:id="rId10"/>
  </sheets>
  <definedNames/>
  <calcPr/>
  <extLst>
    <ext uri="GoogleSheetsCustomDataVersion2">
      <go:sheetsCustomData xmlns:go="http://customooxmlschemas.google.com/" r:id="rId11" roundtripDataChecksum="2QYtRewnq2rtxKHDCnS8Yoj9YyHoltTHmhOluPh0pJ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1">
      <text>
        <t xml:space="preserve">======
ID#AAACACZblyY
August Duncan    (2026-07-15 18:34:06)
adding in the lat long coordinate that matches the other years FB at Barnard -- this is the biggest assumption i am making for any of these</t>
      </text>
    </comment>
  </commentList>
  <extLst>
    <ext uri="GoogleSheetsCustomDataVersion2">
      <go:sheetsCustomData xmlns:go="http://customooxmlschemas.google.com/" r:id="rId1" roundtripDataSignature="AMtx7mi+KnHoggLBdC6Q371GJG49HYkpeA=="/>
    </ext>
  </extLst>
</comments>
</file>

<file path=xl/sharedStrings.xml><?xml version="1.0" encoding="utf-8"?>
<sst xmlns="http://schemas.openxmlformats.org/spreadsheetml/2006/main" count="611" uniqueCount="129">
  <si>
    <t>Site</t>
  </si>
  <si>
    <t>Lat/Long</t>
  </si>
  <si>
    <t>Big Laurel</t>
  </si>
  <si>
    <t>35°54'45.3"N 82°45'25.9"W</t>
  </si>
  <si>
    <t>Cane Creek @ Fletcher Comm Park</t>
  </si>
  <si>
    <t>35°25'26.1"N 82°29'49.8"W</t>
  </si>
  <si>
    <t>FB at Barnard</t>
  </si>
  <si>
    <t>35°50'19.5"N 82°45'16.4"W</t>
  </si>
  <si>
    <t>FB at Bent Creek River Park</t>
  </si>
  <si>
    <t>35°30'06.1"N 82°35'32.6"W</t>
  </si>
  <si>
    <t>FB at Champion Park in Rosman</t>
  </si>
  <si>
    <t>35°08'42.3"N 82°49'33.0"W</t>
  </si>
  <si>
    <t>FB at Glen Bridge Rv Park</t>
  </si>
  <si>
    <t>35°27'03.3"N 82°33'18.5"W</t>
  </si>
  <si>
    <t>FB at Hap Simpson</t>
  </si>
  <si>
    <t>35°13'03.3"N 82°43'11.3"W</t>
  </si>
  <si>
    <t>FB at Hominy Creek Park</t>
  </si>
  <si>
    <t>35°33'19.0"N 82°35'27.3"W</t>
  </si>
  <si>
    <t xml:space="preserve">FB at Horseshoe Boat Access </t>
  </si>
  <si>
    <t>35°20'39.1"N 82°33'40.0"W</t>
  </si>
  <si>
    <t>FB at Hot Springs</t>
  </si>
  <si>
    <t>35°53'49.6"N 82°49'32.3"W</t>
  </si>
  <si>
    <t>FB at Ledges Whitewater Park</t>
  </si>
  <si>
    <t>35°41'07.1"N 82°37'03.4"W</t>
  </si>
  <si>
    <t>FB at Pearson Bridge</t>
  </si>
  <si>
    <t>35°36'31.0"N 82°34'41.6"W</t>
  </si>
  <si>
    <t>FB at Penrose: Crab Creek Rd</t>
  </si>
  <si>
    <t>35°16'10.5"N 82°38'11.1"W</t>
  </si>
  <si>
    <t>FB at Pisgah Forest</t>
  </si>
  <si>
    <t>35°15'03.2"N 82°41'57.4"W</t>
  </si>
  <si>
    <t>FB at RAD Craven St. bridge</t>
  </si>
  <si>
    <t>35°35'22.6"N 82°34'16.8"W</t>
  </si>
  <si>
    <t>FB at Westfeldt Park</t>
  </si>
  <si>
    <t>35°25'18.7"N 82°32'30.9"W</t>
  </si>
  <si>
    <t>FB at Woodfin River Park</t>
  </si>
  <si>
    <t>35°37'52.6"N 82°36'02.1"W</t>
  </si>
  <si>
    <t>Flat Creek - Montreat</t>
  </si>
  <si>
    <t>35°38'42.5"N 82°18'05.1"W</t>
  </si>
  <si>
    <t>Hominy Creek @ Bunc. Co. Sports Park</t>
  </si>
  <si>
    <t>35°32'58.6"N 82°38'28.3"W</t>
  </si>
  <si>
    <t>Hominy Creek Greenway</t>
  </si>
  <si>
    <t>35°33'50.8"N 82°36'04.3"W</t>
  </si>
  <si>
    <t>Little River - Hooker Falls, Dupont</t>
  </si>
  <si>
    <t>35°12'08.7"N 82°37'24.9"W</t>
  </si>
  <si>
    <t>On Hold</t>
  </si>
  <si>
    <t>Mills Rv Boat Access</t>
  </si>
  <si>
    <t>35°23'20.6"N 82°32'54.6"W</t>
  </si>
  <si>
    <t>Mud Creek at Brookside Camp Rd.</t>
  </si>
  <si>
    <t>35°22'23.4"N 82°28'37.3"W</t>
  </si>
  <si>
    <t>Mud Creek at Hendersonville (7th ave)</t>
  </si>
  <si>
    <t>35°19'32.1"N 82°27'08.8"W</t>
  </si>
  <si>
    <t>Pigeon River - Lower take out</t>
  </si>
  <si>
    <t>35°48'42.7"N 83°08'40.2"W</t>
  </si>
  <si>
    <t>Pigeon River at Hartford</t>
  </si>
  <si>
    <t>35°48'46.8"N 83°08'41.7"W</t>
  </si>
  <si>
    <t>Pigeon River Newport</t>
  </si>
  <si>
    <t>35°46'29.6"N 83°05'59.3"W</t>
  </si>
  <si>
    <t>Pigeon River- Canton Rec Park</t>
  </si>
  <si>
    <t>35°31'31.1"N 82°50'40.3"W</t>
  </si>
  <si>
    <t>Pigeon River- Waynesville</t>
  </si>
  <si>
    <t>35°28'11.5"N 83°00'29.7"W</t>
  </si>
  <si>
    <t>Reem's Creek Karpen Soccer Fields</t>
  </si>
  <si>
    <t>35°41'14.3"N 82°33'11.8"W</t>
  </si>
  <si>
    <t>Rhododeron Creek - W. Avl Park</t>
  </si>
  <si>
    <t>35°34'16.4"N 82°35'53.8"W</t>
  </si>
  <si>
    <t>Spring Creek in Hot Springs, NC</t>
  </si>
  <si>
    <t>35°53'49.2"N 82°49'37.8"W</t>
  </si>
  <si>
    <t>Swannanoa @ Azalea Soccer Fields</t>
  </si>
  <si>
    <t>35°34'24.3"N 82°29'24.9"W</t>
  </si>
  <si>
    <t>Swannanoa at Charles D. Owen</t>
  </si>
  <si>
    <t>35°36'29.1"N 82°26'37.7"W</t>
  </si>
  <si>
    <t>...</t>
  </si>
  <si>
    <t>FB at Island Ford</t>
  </si>
  <si>
    <t>35°10'42.1"N 82°45'17.9"W</t>
  </si>
  <si>
    <t>FB at Lyons Mountain</t>
  </si>
  <si>
    <t>35°8'58.1"N, 82°47'57.4"W</t>
  </si>
  <si>
    <t>FB at Stackhouse</t>
  </si>
  <si>
    <t>35°52'51.0"N, 82°46'12.5"W</t>
  </si>
  <si>
    <t>Pigeon River - Clyde River's Edge</t>
  </si>
  <si>
    <t>35°31' 58.8"N 82°54'2.7"W</t>
  </si>
  <si>
    <t xml:space="preserve">Bacoate </t>
  </si>
  <si>
    <t>35°35' 5.7"N, 82°33'58.7"W</t>
  </si>
  <si>
    <t xml:space="preserve">Cane Creek @ Fletcher Comm Park </t>
  </si>
  <si>
    <t>Hominy Creek Near Bear Creek Rd</t>
  </si>
  <si>
    <t>35°33'51.4"N 82°36'28.3"W</t>
  </si>
  <si>
    <t>Nasty Branch</t>
  </si>
  <si>
    <t>35°34'41.0"N 82°33'41.7"W</t>
  </si>
  <si>
    <t>Blannahassett Island Marshall</t>
  </si>
  <si>
    <t>35°47'48.6"N 82°41'06.5"W</t>
  </si>
  <si>
    <t>FB at Horseshoe Boat Access</t>
  </si>
  <si>
    <t>35°10'42.2"N 82°45' 19.5"W</t>
  </si>
  <si>
    <t>Little River - Cedar Mtn Canteen</t>
  </si>
  <si>
    <t>35°8'52.9"N 82°38'47.2"W</t>
  </si>
  <si>
    <t>35°57'40.9"N 83°10'24.4"W</t>
  </si>
  <si>
    <t>35°31'56.5"N 82°54'03.8"W</t>
  </si>
  <si>
    <t xml:space="preserve">    </t>
  </si>
  <si>
    <t>spilled</t>
  </si>
  <si>
    <t>-</t>
  </si>
  <si>
    <t>FB at Blantyre</t>
  </si>
  <si>
    <t>35°17'57.7"N 82°37'20.1"W</t>
  </si>
  <si>
    <t>35°35'05.7"N 82°33'58.7"W</t>
  </si>
  <si>
    <r>
      <rPr>
        <rFont val="Arial"/>
        <color rgb="FF000000"/>
        <sz val="10.0"/>
      </rPr>
      <t>Cane River above North Toe Confluence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(Nolichucky Watershed)</t>
    </r>
  </si>
  <si>
    <t>36°01'36.0"N 82°19'36.5"W</t>
  </si>
  <si>
    <t>35°17'57.4"N 82°37'23.3"W</t>
  </si>
  <si>
    <t>FB at Ledges</t>
  </si>
  <si>
    <t xml:space="preserve">35°41'04.2"N 82°37'03.0"W
</t>
  </si>
  <si>
    <t>FB at Newport</t>
  </si>
  <si>
    <t>35°58'01.1"N 83°11'18.7"W</t>
  </si>
  <si>
    <t>FB at Pisgah Forest Access Area</t>
  </si>
  <si>
    <t>35°15'07.2"N 82°40'44.1"W</t>
  </si>
  <si>
    <t>35°52'51.0"N 82°46'12.5"W</t>
  </si>
  <si>
    <t>35°25'20.7"N 82°32'31.0"W</t>
  </si>
  <si>
    <t>Nolichucky at Chestoa</t>
  </si>
  <si>
    <t>36°06'11.3"N 82°26'45.6"W</t>
  </si>
  <si>
    <t>Nolichucky at Poplar</t>
  </si>
  <si>
    <t>36°04'45.5"N 82°20'51.5"W</t>
  </si>
  <si>
    <t>Nolichucky at Sawmill Takeout (Lower)</t>
  </si>
  <si>
    <t>36°08'58.4"N 82°26'29.3"W</t>
  </si>
  <si>
    <t>North Toe River above Cane Confluence</t>
  </si>
  <si>
    <t>36°01'39.3"N 82°19'18.3"W</t>
  </si>
  <si>
    <t>Pigeon River Takeout at Hartford (Lower)</t>
  </si>
  <si>
    <t>Pigeon River at Upper Put-In</t>
  </si>
  <si>
    <t>Rock Creek Swimming Hole</t>
  </si>
  <si>
    <t>36°08'17.2"N 82°21'00.3"W</t>
  </si>
  <si>
    <t>Spring Creek at Hot Springs</t>
  </si>
  <si>
    <t>35°54'49.4"N 82°45'25.9"W</t>
  </si>
  <si>
    <t>Murphytown (volunteer PR with Keira) (cane river at north toe)</t>
  </si>
  <si>
    <t>Cane River Park (volunteer MG with Keira)</t>
  </si>
  <si>
    <t>Huntdale Bridge (volunteer AS with Keira) (Norh toe at cane conf)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</si>
</sst>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0.0"/>
    <numFmt numFmtId="167" formatCode="m&quot;/&quot;d&quot;/&quot;yyyy"/>
    <numFmt numFmtId="168" formatCode="m/d/yy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Google Sans"/>
    </font>
    <font>
      <sz val="11.0"/>
      <color theme="1"/>
      <name val="Inconsolata"/>
    </font>
    <font>
      <color rgb="FF222222"/>
      <name val="Arial"/>
    </font>
    <font>
      <color rgb="FF202124"/>
      <name val="Google Sans"/>
    </font>
    <font>
      <strike/>
      <color theme="1"/>
      <name val="Arial"/>
    </font>
    <font>
      <strike/>
      <color theme="1"/>
      <name val="Google Sans"/>
    </font>
    <font>
      <sz val="10.0"/>
      <color rgb="FF000000"/>
      <name val="Arial"/>
    </font>
    <font>
      <sz val="10.0"/>
      <color rgb="FF000000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2" numFmtId="164" xfId="0" applyFont="1" applyNumberFormat="1"/>
    <xf borderId="0" fillId="0" fontId="2" numFmtId="168" xfId="0" applyFont="1" applyNumberFormat="1"/>
    <xf borderId="0" fillId="0" fontId="2" numFmtId="167" xfId="0" applyFont="1" applyNumberFormat="1"/>
    <xf borderId="0" fillId="0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164" xfId="0" applyAlignment="1" applyFont="1" applyNumberFormat="1">
      <alignment vertical="bottom"/>
    </xf>
    <xf borderId="1" fillId="0" fontId="9" numFmtId="164" xfId="0" applyAlignment="1" applyBorder="1" applyFont="1" applyNumberFormat="1">
      <alignment horizontal="center" vertical="bottom"/>
    </xf>
    <xf borderId="0" fillId="0" fontId="9" numFmtId="164" xfId="0" applyAlignment="1" applyFont="1" applyNumberFormat="1">
      <alignment horizontal="center" vertical="bottom"/>
    </xf>
    <xf borderId="0" fillId="0" fontId="9" numFmtId="168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9" numFmtId="0" xfId="0" applyAlignment="1" applyFont="1">
      <alignment vertical="bottom"/>
    </xf>
    <xf borderId="0" fillId="0" fontId="9" numFmtId="1" xfId="0" applyAlignment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4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9" numFmtId="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63"/>
    <col customWidth="1" min="2" max="3" width="21.25"/>
  </cols>
  <sheetData>
    <row r="1" ht="15.75" customHeight="1">
      <c r="A1" s="1" t="s">
        <v>0</v>
      </c>
      <c r="B1" s="2" t="s">
        <v>1</v>
      </c>
      <c r="C1" s="3">
        <v>43971.0</v>
      </c>
      <c r="D1" s="2">
        <v>43978.0</v>
      </c>
      <c r="E1" s="2">
        <v>43985.0</v>
      </c>
      <c r="F1" s="2">
        <v>43992.0</v>
      </c>
      <c r="G1" s="2">
        <v>43999.0</v>
      </c>
      <c r="H1" s="2">
        <v>44006.0</v>
      </c>
      <c r="I1" s="4">
        <v>44013.0</v>
      </c>
      <c r="J1" s="4">
        <v>44020.0</v>
      </c>
      <c r="K1" s="2">
        <v>44027.0</v>
      </c>
      <c r="L1" s="2">
        <v>44034.0</v>
      </c>
      <c r="M1" s="2">
        <v>44041.0</v>
      </c>
      <c r="N1" s="4">
        <v>44048.0</v>
      </c>
      <c r="O1" s="2">
        <v>44055.0</v>
      </c>
      <c r="P1" s="2">
        <v>44062.0</v>
      </c>
      <c r="Q1" s="2">
        <v>44069.0</v>
      </c>
      <c r="R1" s="2">
        <v>44076.0</v>
      </c>
      <c r="S1" s="5"/>
      <c r="T1" s="5"/>
    </row>
    <row r="2" ht="15.75" customHeight="1">
      <c r="A2" s="6" t="s">
        <v>2</v>
      </c>
      <c r="B2" s="7" t="s">
        <v>3</v>
      </c>
      <c r="C2" s="8">
        <v>205.0</v>
      </c>
      <c r="D2" s="9">
        <v>260.0</v>
      </c>
      <c r="E2" s="8">
        <v>0.0</v>
      </c>
      <c r="F2" s="8">
        <v>455.0</v>
      </c>
      <c r="G2" s="8">
        <v>100.0</v>
      </c>
      <c r="H2" s="8">
        <v>1155.0</v>
      </c>
      <c r="I2" s="6"/>
      <c r="J2" s="8">
        <v>205.0</v>
      </c>
      <c r="K2" s="8">
        <v>50.0</v>
      </c>
      <c r="L2" s="8">
        <v>100.0</v>
      </c>
      <c r="M2" s="6"/>
      <c r="N2" s="8">
        <v>260.0</v>
      </c>
      <c r="O2" s="10">
        <v>155.0</v>
      </c>
      <c r="P2" s="11"/>
      <c r="Q2" s="10">
        <v>155.0</v>
      </c>
      <c r="R2" s="8">
        <v>490.0</v>
      </c>
      <c r="S2" s="6"/>
      <c r="T2" s="6"/>
    </row>
    <row r="3" ht="15.75" customHeight="1">
      <c r="A3" s="6" t="s">
        <v>4</v>
      </c>
      <c r="B3" s="7" t="s">
        <v>5</v>
      </c>
      <c r="C3" s="8">
        <v>32440.0</v>
      </c>
      <c r="D3" s="8">
        <v>155.0</v>
      </c>
      <c r="E3" s="8">
        <v>945.0</v>
      </c>
      <c r="F3" s="8">
        <v>1165.0</v>
      </c>
      <c r="G3" s="8">
        <v>725.0</v>
      </c>
      <c r="H3" s="8">
        <v>490.0</v>
      </c>
      <c r="I3" s="8">
        <v>610.0</v>
      </c>
      <c r="J3" s="8">
        <v>605.0</v>
      </c>
      <c r="K3" s="8">
        <v>550.0</v>
      </c>
      <c r="L3" s="8">
        <v>1155.0</v>
      </c>
      <c r="M3" s="8">
        <v>5560.0</v>
      </c>
      <c r="N3" s="8">
        <v>2365.0</v>
      </c>
      <c r="O3" s="10">
        <v>915.0</v>
      </c>
      <c r="P3" s="10">
        <v>800.0</v>
      </c>
      <c r="Q3" s="10">
        <v>855.0</v>
      </c>
      <c r="R3" s="10">
        <v>605.0</v>
      </c>
      <c r="S3" s="8"/>
      <c r="T3" s="8"/>
    </row>
    <row r="4" ht="15.75" customHeight="1">
      <c r="A4" s="6" t="s">
        <v>6</v>
      </c>
      <c r="B4" s="7" t="s">
        <v>7</v>
      </c>
      <c r="C4" s="8">
        <v>2480.0</v>
      </c>
      <c r="D4" s="8">
        <v>205.0</v>
      </c>
      <c r="E4" s="8">
        <v>50.0</v>
      </c>
      <c r="F4" s="8">
        <v>2325.0</v>
      </c>
      <c r="G4" s="8">
        <v>205.0</v>
      </c>
      <c r="H4" s="8">
        <v>430.0</v>
      </c>
      <c r="I4" s="8">
        <v>50.0</v>
      </c>
      <c r="J4" s="8">
        <v>655.0</v>
      </c>
      <c r="K4" s="8">
        <v>100.0</v>
      </c>
      <c r="L4" s="8">
        <v>545.0</v>
      </c>
      <c r="M4" s="8">
        <v>315.0</v>
      </c>
      <c r="N4" s="8">
        <v>1395.0</v>
      </c>
      <c r="O4" s="10">
        <v>155.0</v>
      </c>
      <c r="P4" s="11"/>
      <c r="Q4" s="10">
        <v>2140.0</v>
      </c>
      <c r="R4" s="10">
        <v>1205.0</v>
      </c>
      <c r="S4" s="8"/>
      <c r="T4" s="8"/>
    </row>
    <row r="5" ht="15.75" customHeight="1">
      <c r="A5" s="6" t="s">
        <v>8</v>
      </c>
      <c r="B5" s="7" t="s">
        <v>9</v>
      </c>
      <c r="C5" s="8">
        <v>2645.0</v>
      </c>
      <c r="D5" s="8">
        <v>260.0</v>
      </c>
      <c r="E5" s="8">
        <v>315.0</v>
      </c>
      <c r="F5" s="8">
        <v>155.0</v>
      </c>
      <c r="G5" s="8">
        <v>425.0</v>
      </c>
      <c r="H5" s="8">
        <v>155.0</v>
      </c>
      <c r="I5" s="8">
        <v>865.0</v>
      </c>
      <c r="J5" s="8">
        <v>670.0</v>
      </c>
      <c r="K5" s="8">
        <v>155.0</v>
      </c>
      <c r="L5" s="8">
        <v>2160.0</v>
      </c>
      <c r="M5" s="8">
        <v>1425.0</v>
      </c>
      <c r="N5" s="8">
        <v>5230.0</v>
      </c>
      <c r="O5" s="10">
        <v>155.0</v>
      </c>
      <c r="P5" s="10">
        <v>605.0</v>
      </c>
      <c r="Q5" s="10">
        <v>540.0</v>
      </c>
      <c r="R5" s="10">
        <v>720.0</v>
      </c>
      <c r="S5" s="8"/>
      <c r="T5" s="8"/>
    </row>
    <row r="6" ht="15.75" customHeight="1">
      <c r="A6" s="6" t="s">
        <v>10</v>
      </c>
      <c r="B6" s="7" t="s">
        <v>11</v>
      </c>
      <c r="C6" s="8">
        <v>1165.0</v>
      </c>
      <c r="D6" s="8">
        <v>260.0</v>
      </c>
      <c r="E6" s="8">
        <v>50.0</v>
      </c>
      <c r="F6" s="8">
        <v>1005.0</v>
      </c>
      <c r="G6" s="8">
        <v>315.0</v>
      </c>
      <c r="H6" s="8">
        <v>100.0</v>
      </c>
      <c r="I6" s="8">
        <v>50.0</v>
      </c>
      <c r="J6" s="6"/>
      <c r="K6" s="8">
        <v>150.0</v>
      </c>
      <c r="L6" s="8">
        <v>260.0</v>
      </c>
      <c r="M6" s="8">
        <v>205.0</v>
      </c>
      <c r="N6" s="8">
        <v>315.0</v>
      </c>
      <c r="O6" s="10">
        <v>315.0</v>
      </c>
      <c r="P6" s="10">
        <v>3745.0</v>
      </c>
      <c r="Q6" s="10">
        <v>260.0</v>
      </c>
      <c r="R6" s="10">
        <v>260.0</v>
      </c>
      <c r="S6" s="8"/>
      <c r="T6" s="8"/>
    </row>
    <row r="7" ht="15.75" customHeight="1">
      <c r="A7" s="6" t="s">
        <v>12</v>
      </c>
      <c r="B7" s="7" t="s">
        <v>13</v>
      </c>
      <c r="C7" s="8">
        <v>2480.0</v>
      </c>
      <c r="D7" s="8">
        <v>730.0</v>
      </c>
      <c r="E7" s="8">
        <v>365.0</v>
      </c>
      <c r="F7" s="8">
        <v>430.0</v>
      </c>
      <c r="G7" s="8">
        <v>365.0</v>
      </c>
      <c r="H7" s="6"/>
      <c r="I7" s="6"/>
      <c r="J7" s="6"/>
      <c r="K7" s="8">
        <v>260.0</v>
      </c>
      <c r="L7" s="6"/>
      <c r="M7" s="6"/>
      <c r="N7" s="6"/>
      <c r="O7" s="10">
        <v>420.0</v>
      </c>
      <c r="P7" s="10">
        <v>925.0</v>
      </c>
      <c r="Q7" s="10">
        <v>430.0</v>
      </c>
      <c r="R7" s="10">
        <v>485.0</v>
      </c>
      <c r="S7" s="8"/>
      <c r="T7" s="8"/>
    </row>
    <row r="8" ht="15.75" customHeight="1">
      <c r="A8" s="6" t="s">
        <v>14</v>
      </c>
      <c r="B8" s="7" t="s">
        <v>15</v>
      </c>
      <c r="C8" s="8">
        <v>3585.0</v>
      </c>
      <c r="D8" s="8">
        <v>605.0</v>
      </c>
      <c r="E8" s="8">
        <v>260.0</v>
      </c>
      <c r="F8" s="8">
        <v>545.0</v>
      </c>
      <c r="G8" s="8">
        <v>370.0</v>
      </c>
      <c r="H8" s="8">
        <v>480.0</v>
      </c>
      <c r="I8" s="8">
        <v>490.0</v>
      </c>
      <c r="J8" s="8">
        <v>1055.0</v>
      </c>
      <c r="K8" s="8">
        <v>485.0</v>
      </c>
      <c r="L8" s="8">
        <v>1015.0</v>
      </c>
      <c r="M8" s="8">
        <v>420.0</v>
      </c>
      <c r="N8" s="8">
        <v>800.0</v>
      </c>
      <c r="O8" s="10">
        <v>430.0</v>
      </c>
      <c r="P8" s="10">
        <v>600.0</v>
      </c>
      <c r="Q8" s="10">
        <v>925.0</v>
      </c>
      <c r="R8" s="10">
        <v>550.0</v>
      </c>
      <c r="S8" s="8"/>
      <c r="T8" s="8"/>
    </row>
    <row r="9" ht="15.75" customHeight="1">
      <c r="A9" s="6" t="s">
        <v>16</v>
      </c>
      <c r="B9" s="7" t="s">
        <v>17</v>
      </c>
      <c r="C9" s="8">
        <v>3945.0</v>
      </c>
      <c r="D9" s="8">
        <v>315.0</v>
      </c>
      <c r="E9" s="8">
        <v>375.0</v>
      </c>
      <c r="F9" s="8">
        <v>425.0</v>
      </c>
      <c r="G9" s="8">
        <v>595.0</v>
      </c>
      <c r="H9" s="8">
        <v>480.0</v>
      </c>
      <c r="I9" s="8">
        <v>100.0</v>
      </c>
      <c r="J9" s="8">
        <v>1065.0</v>
      </c>
      <c r="K9" s="8">
        <v>260.0</v>
      </c>
      <c r="L9" s="8">
        <v>610.0</v>
      </c>
      <c r="M9" s="8">
        <v>915.0</v>
      </c>
      <c r="N9" s="8">
        <v>8615.0</v>
      </c>
      <c r="O9" s="10">
        <v>260.0</v>
      </c>
      <c r="P9" s="10">
        <v>3945.0</v>
      </c>
      <c r="Q9" s="10">
        <v>8910.0</v>
      </c>
      <c r="R9" s="10">
        <v>1230.0</v>
      </c>
      <c r="S9" s="6"/>
      <c r="T9" s="8"/>
    </row>
    <row r="10" ht="15.75" customHeight="1">
      <c r="A10" s="6" t="s">
        <v>18</v>
      </c>
      <c r="B10" s="6" t="s">
        <v>19</v>
      </c>
      <c r="C10" s="8">
        <v>1460.0</v>
      </c>
      <c r="D10" s="8">
        <v>1065.0</v>
      </c>
      <c r="E10" s="8">
        <v>100.0</v>
      </c>
      <c r="F10" s="8">
        <v>155.0</v>
      </c>
      <c r="G10" s="8">
        <v>315.0</v>
      </c>
      <c r="H10" s="6"/>
      <c r="I10" s="8">
        <v>800.0</v>
      </c>
      <c r="J10" s="8">
        <v>1005.0</v>
      </c>
      <c r="K10" s="8">
        <v>875.0</v>
      </c>
      <c r="L10" s="8">
        <v>3585.0</v>
      </c>
      <c r="M10" s="8">
        <v>1155.0</v>
      </c>
      <c r="N10" s="8">
        <v>935.0</v>
      </c>
      <c r="O10" s="10">
        <v>725.0</v>
      </c>
      <c r="P10" s="10">
        <v>155.0</v>
      </c>
      <c r="Q10" s="10">
        <v>2880.0</v>
      </c>
      <c r="R10" s="10">
        <v>550.0</v>
      </c>
      <c r="S10" s="8"/>
      <c r="T10" s="8"/>
    </row>
    <row r="11" ht="15.75" customHeight="1">
      <c r="A11" s="6" t="s">
        <v>20</v>
      </c>
      <c r="B11" s="7" t="s">
        <v>21</v>
      </c>
      <c r="C11" s="8">
        <v>4525.0</v>
      </c>
      <c r="D11" s="8">
        <v>100.0</v>
      </c>
      <c r="E11" s="8">
        <v>0.0</v>
      </c>
      <c r="F11" s="8">
        <v>315.0</v>
      </c>
      <c r="G11" s="8">
        <v>50.0</v>
      </c>
      <c r="H11" s="8">
        <v>540.0</v>
      </c>
      <c r="I11" s="8">
        <v>155.0</v>
      </c>
      <c r="J11" s="8">
        <v>260.0</v>
      </c>
      <c r="K11" s="8">
        <v>50.0</v>
      </c>
      <c r="L11" s="8">
        <v>100.0</v>
      </c>
      <c r="M11" s="8">
        <v>100.0</v>
      </c>
      <c r="N11" s="8">
        <v>1080.0</v>
      </c>
      <c r="O11" s="10">
        <v>100.0</v>
      </c>
      <c r="P11" s="10">
        <v>155.0</v>
      </c>
      <c r="Q11" s="10">
        <v>805.0</v>
      </c>
      <c r="R11" s="10">
        <v>1055.0</v>
      </c>
      <c r="S11" s="8"/>
      <c r="T11" s="8"/>
    </row>
    <row r="12" ht="15.75" customHeight="1">
      <c r="A12" s="6" t="s">
        <v>22</v>
      </c>
      <c r="B12" s="7" t="s">
        <v>23</v>
      </c>
      <c r="C12" s="8">
        <v>2600.0</v>
      </c>
      <c r="D12" s="8">
        <v>375.0</v>
      </c>
      <c r="E12" s="6"/>
      <c r="F12" s="8">
        <v>205.0</v>
      </c>
      <c r="G12" s="6"/>
      <c r="H12" s="8">
        <v>50.0</v>
      </c>
      <c r="I12" s="8">
        <v>0.0</v>
      </c>
      <c r="J12" s="8">
        <v>150.0</v>
      </c>
      <c r="K12" s="8">
        <v>100.0</v>
      </c>
      <c r="L12" s="8">
        <v>740.0</v>
      </c>
      <c r="M12" s="8">
        <v>150.0</v>
      </c>
      <c r="N12" s="8">
        <v>1750.0</v>
      </c>
      <c r="O12" s="10">
        <v>205.0</v>
      </c>
      <c r="P12" s="11"/>
      <c r="Q12" s="10">
        <v>310.0</v>
      </c>
      <c r="R12" s="10">
        <v>480.0</v>
      </c>
      <c r="S12" s="8"/>
      <c r="T12" s="8"/>
    </row>
    <row r="13" ht="15.75" customHeight="1">
      <c r="A13" s="6" t="s">
        <v>24</v>
      </c>
      <c r="B13" s="7" t="s">
        <v>25</v>
      </c>
      <c r="C13" s="8">
        <v>3385.0</v>
      </c>
      <c r="D13" s="8">
        <v>150.0</v>
      </c>
      <c r="E13" s="8">
        <v>155.0</v>
      </c>
      <c r="F13" s="8">
        <v>260.0</v>
      </c>
      <c r="G13" s="8">
        <v>490.0</v>
      </c>
      <c r="H13" s="8">
        <v>260.0</v>
      </c>
      <c r="I13" s="8">
        <v>200.0</v>
      </c>
      <c r="J13" s="8">
        <v>480.0</v>
      </c>
      <c r="K13" s="8">
        <v>260.0</v>
      </c>
      <c r="L13" s="8">
        <v>430.0</v>
      </c>
      <c r="M13" s="8">
        <v>595.0</v>
      </c>
      <c r="N13" s="8">
        <v>1505.0</v>
      </c>
      <c r="O13" s="10">
        <v>310.0</v>
      </c>
      <c r="P13" s="10">
        <v>2185.0</v>
      </c>
      <c r="Q13" s="10">
        <v>1140.0</v>
      </c>
      <c r="R13" s="10">
        <v>660.0</v>
      </c>
      <c r="S13" s="8"/>
      <c r="T13" s="8"/>
    </row>
    <row r="14" ht="15.75" customHeight="1">
      <c r="A14" s="6" t="s">
        <v>26</v>
      </c>
      <c r="B14" s="7" t="s">
        <v>27</v>
      </c>
      <c r="C14" s="8">
        <v>3385.0</v>
      </c>
      <c r="D14" s="8">
        <v>670.0</v>
      </c>
      <c r="E14" s="8">
        <v>50.0</v>
      </c>
      <c r="F14" s="8">
        <v>205.0</v>
      </c>
      <c r="G14" s="8">
        <v>375.0</v>
      </c>
      <c r="H14" s="8">
        <v>260.0</v>
      </c>
      <c r="I14" s="8">
        <v>430.0</v>
      </c>
      <c r="J14" s="8">
        <v>540.0</v>
      </c>
      <c r="K14" s="8">
        <v>50.0</v>
      </c>
      <c r="L14" s="8">
        <v>845.0</v>
      </c>
      <c r="M14" s="8">
        <v>720.0</v>
      </c>
      <c r="N14" s="8">
        <v>865.0</v>
      </c>
      <c r="O14" s="10">
        <v>780.0</v>
      </c>
      <c r="P14" s="10">
        <v>205.0</v>
      </c>
      <c r="Q14" s="10">
        <v>5765.0</v>
      </c>
      <c r="R14" s="10">
        <v>260.0</v>
      </c>
      <c r="S14" s="8"/>
      <c r="T14" s="8"/>
    </row>
    <row r="15" ht="15.75" customHeight="1">
      <c r="A15" s="6" t="s">
        <v>28</v>
      </c>
      <c r="B15" s="7" t="s">
        <v>29</v>
      </c>
      <c r="C15" s="8">
        <v>6180.0</v>
      </c>
      <c r="D15" s="8">
        <v>1005.0</v>
      </c>
      <c r="E15" s="8">
        <v>100.0</v>
      </c>
      <c r="F15" s="8">
        <v>485.0</v>
      </c>
      <c r="G15" s="6"/>
      <c r="H15" s="8">
        <v>485.0</v>
      </c>
      <c r="I15" s="8">
        <v>1475.0</v>
      </c>
      <c r="J15" s="8">
        <v>3585.0</v>
      </c>
      <c r="K15" s="8">
        <v>155.0</v>
      </c>
      <c r="L15" s="8">
        <v>1635.0</v>
      </c>
      <c r="M15" s="8">
        <v>315.0</v>
      </c>
      <c r="N15" s="8">
        <v>675.0</v>
      </c>
      <c r="O15" s="10">
        <v>730.0</v>
      </c>
      <c r="P15" s="10">
        <v>375.0</v>
      </c>
      <c r="Q15" s="10">
        <v>1495.0</v>
      </c>
      <c r="R15" s="10">
        <v>260.0</v>
      </c>
      <c r="S15" s="8"/>
      <c r="T15" s="8"/>
    </row>
    <row r="16" ht="15.75" customHeight="1">
      <c r="A16" s="6" t="s">
        <v>30</v>
      </c>
      <c r="B16" s="7" t="s">
        <v>31</v>
      </c>
      <c r="C16" s="6"/>
      <c r="D16" s="6"/>
      <c r="E16" s="8">
        <v>205.0</v>
      </c>
      <c r="F16" s="8">
        <v>155.0</v>
      </c>
      <c r="G16" s="8">
        <v>430.0</v>
      </c>
      <c r="H16" s="8">
        <v>475.0</v>
      </c>
      <c r="I16" s="8">
        <v>205.0</v>
      </c>
      <c r="J16" s="8">
        <v>610.0</v>
      </c>
      <c r="K16" s="6"/>
      <c r="L16" s="8">
        <v>205.0</v>
      </c>
      <c r="M16" s="8">
        <v>315.0</v>
      </c>
      <c r="N16" s="8">
        <v>7195.0</v>
      </c>
      <c r="O16" s="10">
        <v>200.0</v>
      </c>
      <c r="P16" s="10">
        <v>1395.0</v>
      </c>
      <c r="Q16" s="10">
        <v>1190.0</v>
      </c>
      <c r="R16" s="10">
        <v>740.0</v>
      </c>
      <c r="S16" s="8"/>
      <c r="T16" s="8"/>
    </row>
    <row r="17" ht="15.75" customHeight="1">
      <c r="A17" s="6" t="s">
        <v>32</v>
      </c>
      <c r="B17" s="7" t="s">
        <v>33</v>
      </c>
      <c r="C17" s="8">
        <v>5095.0</v>
      </c>
      <c r="D17" s="8">
        <v>670.0</v>
      </c>
      <c r="E17" s="8">
        <v>100.0</v>
      </c>
      <c r="F17" s="8">
        <v>205.0</v>
      </c>
      <c r="G17" s="8">
        <v>425.0</v>
      </c>
      <c r="H17" s="6"/>
      <c r="I17" s="8">
        <v>1205.0</v>
      </c>
      <c r="J17" s="8">
        <v>430.0</v>
      </c>
      <c r="K17" s="8">
        <v>375.0</v>
      </c>
      <c r="L17" s="8">
        <v>725.0</v>
      </c>
      <c r="M17" s="8">
        <v>2600.0</v>
      </c>
      <c r="N17" s="8">
        <v>1865.0</v>
      </c>
      <c r="O17" s="10">
        <v>315.0</v>
      </c>
      <c r="P17" s="10">
        <v>935.0</v>
      </c>
      <c r="Q17" s="10">
        <v>730.0</v>
      </c>
      <c r="R17" s="10">
        <v>725.0</v>
      </c>
      <c r="S17" s="8"/>
      <c r="T17" s="8"/>
    </row>
    <row r="18" ht="15.75" customHeight="1">
      <c r="A18" s="6" t="s">
        <v>34</v>
      </c>
      <c r="B18" s="7" t="s">
        <v>35</v>
      </c>
      <c r="C18" s="6"/>
      <c r="D18" s="8">
        <v>430.0</v>
      </c>
      <c r="E18" s="8">
        <v>205.0</v>
      </c>
      <c r="F18" s="6"/>
      <c r="G18" s="8">
        <v>260.0</v>
      </c>
      <c r="H18" s="8">
        <v>315.0</v>
      </c>
      <c r="I18" s="8">
        <v>100.0</v>
      </c>
      <c r="J18" s="8">
        <v>375.0</v>
      </c>
      <c r="K18" s="8">
        <v>205.0</v>
      </c>
      <c r="L18" s="8">
        <v>150.0</v>
      </c>
      <c r="M18" s="8">
        <v>420.0</v>
      </c>
      <c r="N18" s="8">
        <v>1505.0</v>
      </c>
      <c r="O18" s="10">
        <v>100.0</v>
      </c>
      <c r="P18" s="10">
        <v>2175.0</v>
      </c>
      <c r="Q18" s="10">
        <v>935.0</v>
      </c>
      <c r="R18" s="11"/>
      <c r="S18" s="8"/>
      <c r="T18" s="8"/>
    </row>
    <row r="19" ht="15.75" customHeight="1">
      <c r="A19" s="6" t="s">
        <v>36</v>
      </c>
      <c r="B19" s="12" t="s">
        <v>37</v>
      </c>
      <c r="C19" s="8">
        <v>660.0</v>
      </c>
      <c r="D19" s="8">
        <v>0.0</v>
      </c>
      <c r="E19" s="8">
        <v>0.0</v>
      </c>
      <c r="F19" s="8">
        <v>0.0</v>
      </c>
      <c r="G19" s="8">
        <v>205.0</v>
      </c>
      <c r="H19" s="8">
        <v>205.0</v>
      </c>
      <c r="I19" s="8">
        <v>50.0</v>
      </c>
      <c r="J19" s="8">
        <v>50.0</v>
      </c>
      <c r="K19" s="8">
        <v>0.0</v>
      </c>
      <c r="L19" s="8">
        <v>260.0</v>
      </c>
      <c r="M19" s="8">
        <v>205.0</v>
      </c>
      <c r="N19" s="8">
        <v>50.0</v>
      </c>
      <c r="O19" s="10">
        <v>730.0</v>
      </c>
      <c r="P19" s="10">
        <v>100.0</v>
      </c>
      <c r="Q19" s="10">
        <v>430.0</v>
      </c>
      <c r="R19" s="10">
        <v>260.0</v>
      </c>
      <c r="S19" s="6"/>
      <c r="T19" s="6"/>
    </row>
    <row r="20" ht="15.75" customHeight="1">
      <c r="A20" s="6" t="s">
        <v>38</v>
      </c>
      <c r="B20" s="7" t="s">
        <v>39</v>
      </c>
      <c r="C20" s="8">
        <v>9675.0</v>
      </c>
      <c r="D20" s="8">
        <v>155.0</v>
      </c>
      <c r="E20" s="8">
        <v>315.0</v>
      </c>
      <c r="F20" s="8">
        <v>430.0</v>
      </c>
      <c r="G20" s="8">
        <v>425.0</v>
      </c>
      <c r="H20" s="8">
        <v>1615.0</v>
      </c>
      <c r="I20" s="8">
        <v>605.0</v>
      </c>
      <c r="J20" s="8">
        <v>1055.0</v>
      </c>
      <c r="K20" s="8">
        <v>730.0</v>
      </c>
      <c r="L20" s="8">
        <v>610.0</v>
      </c>
      <c r="M20" s="8">
        <v>1130.0</v>
      </c>
      <c r="N20" s="8">
        <v>8945.0</v>
      </c>
      <c r="O20" s="10">
        <v>1295.0</v>
      </c>
      <c r="P20" s="10">
        <v>4660.0</v>
      </c>
      <c r="Q20" s="10">
        <v>1655.0</v>
      </c>
      <c r="R20" s="10">
        <v>740.0</v>
      </c>
      <c r="S20" s="8"/>
      <c r="T20" s="8"/>
    </row>
    <row r="21" ht="15.75" customHeight="1">
      <c r="A21" s="6" t="s">
        <v>40</v>
      </c>
      <c r="B21" s="7" t="s">
        <v>41</v>
      </c>
      <c r="C21" s="6"/>
      <c r="D21" s="6"/>
      <c r="E21" s="8">
        <v>205.0</v>
      </c>
      <c r="F21" s="8">
        <v>370.0</v>
      </c>
      <c r="G21" s="8">
        <v>260.0</v>
      </c>
      <c r="H21" s="8">
        <v>845.0</v>
      </c>
      <c r="I21" s="8">
        <v>800.0</v>
      </c>
      <c r="J21" s="8">
        <v>1460.0</v>
      </c>
      <c r="K21" s="8">
        <v>545.0</v>
      </c>
      <c r="L21" s="8">
        <v>1140.0</v>
      </c>
      <c r="M21" s="8">
        <v>985.0</v>
      </c>
      <c r="N21" s="8">
        <v>70680.0</v>
      </c>
      <c r="O21" s="10">
        <v>1080.0</v>
      </c>
      <c r="P21" s="10">
        <v>18270.0</v>
      </c>
      <c r="Q21" s="10">
        <v>4665.0</v>
      </c>
      <c r="R21" s="11"/>
      <c r="S21" s="8"/>
      <c r="T21" s="8"/>
    </row>
    <row r="22" ht="15.75" customHeight="1">
      <c r="A22" s="6" t="s">
        <v>42</v>
      </c>
      <c r="B22" s="12" t="s">
        <v>43</v>
      </c>
      <c r="C22" s="6" t="s">
        <v>44</v>
      </c>
      <c r="D22" s="8">
        <v>155.0</v>
      </c>
      <c r="E22" s="8">
        <v>0.0</v>
      </c>
      <c r="F22" s="8">
        <v>150.0</v>
      </c>
      <c r="G22" s="8">
        <v>0.0</v>
      </c>
      <c r="H22" s="8">
        <v>0.0</v>
      </c>
      <c r="I22" s="8">
        <v>0.0</v>
      </c>
      <c r="J22" s="8">
        <v>50.0</v>
      </c>
      <c r="K22" s="8">
        <v>100.0</v>
      </c>
      <c r="L22" s="8">
        <v>0.0</v>
      </c>
      <c r="M22" s="8">
        <v>260.0</v>
      </c>
      <c r="N22" s="8">
        <v>260.0</v>
      </c>
      <c r="O22" s="10">
        <v>0.0</v>
      </c>
      <c r="P22" s="10">
        <v>0.0</v>
      </c>
      <c r="Q22" s="10">
        <v>0.0</v>
      </c>
      <c r="R22" s="10">
        <v>260.0</v>
      </c>
      <c r="S22" s="6"/>
      <c r="T22" s="6"/>
    </row>
    <row r="23" ht="15.75" customHeight="1">
      <c r="A23" s="6" t="s">
        <v>45</v>
      </c>
      <c r="B23" s="7" t="s">
        <v>46</v>
      </c>
      <c r="C23" s="8">
        <v>17240.0</v>
      </c>
      <c r="D23" s="8">
        <v>100.0</v>
      </c>
      <c r="E23" s="8">
        <v>50.0</v>
      </c>
      <c r="F23" s="8">
        <v>0.0</v>
      </c>
      <c r="G23" s="8">
        <v>540.0</v>
      </c>
      <c r="H23" s="8">
        <v>255.0</v>
      </c>
      <c r="I23" s="8">
        <v>205.0</v>
      </c>
      <c r="J23" s="8">
        <v>260.0</v>
      </c>
      <c r="K23" s="8">
        <v>370.0</v>
      </c>
      <c r="L23" s="8">
        <v>315.0</v>
      </c>
      <c r="M23" s="8">
        <v>710.0</v>
      </c>
      <c r="N23" s="8">
        <v>1545.0</v>
      </c>
      <c r="O23" s="10">
        <v>1395.0</v>
      </c>
      <c r="P23" s="10">
        <v>1795.0</v>
      </c>
      <c r="Q23" s="10">
        <v>260.0</v>
      </c>
      <c r="R23" s="10">
        <v>315.0</v>
      </c>
      <c r="S23" s="8"/>
      <c r="T23" s="8"/>
    </row>
    <row r="24" ht="15.75" customHeight="1">
      <c r="A24" s="6" t="s">
        <v>47</v>
      </c>
      <c r="B24" s="13" t="s">
        <v>48</v>
      </c>
      <c r="C24" s="8">
        <v>1865.0</v>
      </c>
      <c r="D24" s="8">
        <v>535.0</v>
      </c>
      <c r="E24" s="8">
        <v>155.0</v>
      </c>
      <c r="F24" s="8">
        <v>255.0</v>
      </c>
      <c r="G24" s="8">
        <v>430.0</v>
      </c>
      <c r="H24" s="8">
        <v>430.0</v>
      </c>
      <c r="I24" s="8">
        <v>545.0</v>
      </c>
      <c r="J24" s="8">
        <v>1410.0</v>
      </c>
      <c r="K24" s="8">
        <v>430.0</v>
      </c>
      <c r="L24" s="8">
        <v>2475.0</v>
      </c>
      <c r="M24" s="8">
        <v>5430.0</v>
      </c>
      <c r="N24" s="8">
        <v>4080.0</v>
      </c>
      <c r="O24" s="11"/>
      <c r="P24" s="10">
        <v>425.0</v>
      </c>
      <c r="Q24" s="10">
        <v>1640.0</v>
      </c>
      <c r="R24" s="10">
        <v>425.0</v>
      </c>
      <c r="S24" s="8"/>
      <c r="T24" s="8"/>
    </row>
    <row r="25" ht="15.75" customHeight="1">
      <c r="A25" s="6" t="s">
        <v>49</v>
      </c>
      <c r="B25" s="7" t="s">
        <v>50</v>
      </c>
      <c r="C25" s="8">
        <v>5685.0</v>
      </c>
      <c r="D25" s="8">
        <v>315.0</v>
      </c>
      <c r="E25" s="8">
        <v>315.0</v>
      </c>
      <c r="F25" s="8">
        <v>155.0</v>
      </c>
      <c r="G25" s="8">
        <v>260.0</v>
      </c>
      <c r="H25" s="8">
        <v>430.0</v>
      </c>
      <c r="I25" s="8">
        <v>260.0</v>
      </c>
      <c r="J25" s="8">
        <v>375.0</v>
      </c>
      <c r="K25" s="8">
        <v>310.0</v>
      </c>
      <c r="L25" s="8">
        <v>1245.0</v>
      </c>
      <c r="M25" s="8">
        <v>4665.0</v>
      </c>
      <c r="N25" s="8">
        <v>610.0</v>
      </c>
      <c r="O25" s="10">
        <v>370.0</v>
      </c>
      <c r="P25" s="10">
        <v>0.0</v>
      </c>
      <c r="Q25" s="10">
        <v>730.0</v>
      </c>
      <c r="R25" s="10">
        <v>670.0</v>
      </c>
      <c r="S25" s="8"/>
      <c r="T25" s="8"/>
    </row>
    <row r="26" ht="15.75" customHeight="1">
      <c r="A26" s="6" t="s">
        <v>51</v>
      </c>
      <c r="B26" s="12" t="s">
        <v>52</v>
      </c>
      <c r="C26" s="6" t="s">
        <v>44</v>
      </c>
      <c r="D26" s="8">
        <v>205.0</v>
      </c>
      <c r="E26" s="8">
        <v>50.0</v>
      </c>
      <c r="F26" s="8">
        <v>100.0</v>
      </c>
      <c r="G26" s="8">
        <v>370.0</v>
      </c>
      <c r="H26" s="8">
        <v>370.0</v>
      </c>
      <c r="I26" s="8">
        <v>0.0</v>
      </c>
      <c r="J26" s="8">
        <v>50.0</v>
      </c>
      <c r="K26" s="8">
        <v>50.0</v>
      </c>
      <c r="L26" s="8">
        <v>0.0</v>
      </c>
      <c r="M26" s="8">
        <v>50.0</v>
      </c>
      <c r="N26" s="8">
        <v>155.0</v>
      </c>
      <c r="O26" s="10">
        <v>155.0</v>
      </c>
      <c r="P26" s="10">
        <v>155.0</v>
      </c>
      <c r="Q26" s="10">
        <v>100.0</v>
      </c>
      <c r="R26" s="10">
        <v>50.0</v>
      </c>
      <c r="S26" s="8"/>
      <c r="T26" s="8"/>
    </row>
    <row r="27" ht="15.75" customHeight="1">
      <c r="A27" s="6" t="s">
        <v>53</v>
      </c>
      <c r="B27" s="12" t="s">
        <v>54</v>
      </c>
      <c r="C27" s="6" t="s">
        <v>44</v>
      </c>
      <c r="D27" s="8">
        <v>205.0</v>
      </c>
      <c r="E27" s="8">
        <v>50.0</v>
      </c>
      <c r="F27" s="8">
        <v>0.0</v>
      </c>
      <c r="G27" s="8">
        <v>375.0</v>
      </c>
      <c r="H27" s="8">
        <v>100.0</v>
      </c>
      <c r="I27" s="8">
        <v>100.0</v>
      </c>
      <c r="J27" s="8">
        <v>0.0</v>
      </c>
      <c r="K27" s="8">
        <v>0.0</v>
      </c>
      <c r="L27" s="8">
        <v>50.0</v>
      </c>
      <c r="M27" s="8">
        <v>0.0</v>
      </c>
      <c r="N27" s="8">
        <v>155.0</v>
      </c>
      <c r="O27" s="10">
        <v>0.0</v>
      </c>
      <c r="P27" s="10">
        <v>0.0</v>
      </c>
      <c r="Q27" s="10">
        <v>100.0</v>
      </c>
      <c r="R27" s="10">
        <v>50.0</v>
      </c>
      <c r="S27" s="8"/>
      <c r="T27" s="8"/>
    </row>
    <row r="28" ht="15.75" customHeight="1">
      <c r="A28" s="6" t="s">
        <v>55</v>
      </c>
      <c r="B28" s="6" t="s">
        <v>56</v>
      </c>
      <c r="C28" s="6" t="s">
        <v>44</v>
      </c>
      <c r="D28" s="8">
        <v>100.0</v>
      </c>
      <c r="E28" s="8">
        <v>100.0</v>
      </c>
      <c r="F28" s="8">
        <v>0.0</v>
      </c>
      <c r="G28" s="8">
        <v>205.0</v>
      </c>
      <c r="H28" s="8">
        <v>155.0</v>
      </c>
      <c r="I28" s="8">
        <v>0.0</v>
      </c>
      <c r="J28" s="8">
        <v>0.0</v>
      </c>
      <c r="K28" s="8">
        <v>0.0</v>
      </c>
      <c r="L28" s="8">
        <v>0.0</v>
      </c>
      <c r="M28" s="8">
        <v>150.0</v>
      </c>
      <c r="N28" s="8">
        <v>155.0</v>
      </c>
      <c r="O28" s="10">
        <v>0.0</v>
      </c>
      <c r="P28" s="10">
        <v>0.0</v>
      </c>
      <c r="Q28" s="10">
        <v>260.0</v>
      </c>
      <c r="R28" s="14">
        <v>0.0</v>
      </c>
      <c r="S28" s="15"/>
      <c r="T28" s="6"/>
    </row>
    <row r="29" ht="15.75" customHeight="1">
      <c r="A29" s="6" t="s">
        <v>57</v>
      </c>
      <c r="B29" s="6" t="s">
        <v>58</v>
      </c>
      <c r="C29" s="8">
        <v>4930.0</v>
      </c>
      <c r="D29" s="8">
        <v>485.0</v>
      </c>
      <c r="E29" s="6"/>
      <c r="F29" s="8">
        <v>260.0</v>
      </c>
      <c r="G29" s="6"/>
      <c r="H29" s="8">
        <v>155.0</v>
      </c>
      <c r="I29" s="8">
        <v>155.0</v>
      </c>
      <c r="J29" s="8">
        <v>50.0</v>
      </c>
      <c r="K29" s="6"/>
      <c r="L29" s="8">
        <v>485.0</v>
      </c>
      <c r="M29" s="8">
        <v>375.0</v>
      </c>
      <c r="N29" s="8">
        <v>250.0</v>
      </c>
      <c r="O29" s="10">
        <v>205.0</v>
      </c>
      <c r="P29" s="11"/>
      <c r="Q29" s="10">
        <v>155.0</v>
      </c>
      <c r="R29" s="11"/>
      <c r="S29" s="8"/>
      <c r="T29" s="8"/>
    </row>
    <row r="30" ht="15.75" customHeight="1">
      <c r="A30" s="6" t="s">
        <v>59</v>
      </c>
      <c r="B30" s="12" t="s">
        <v>60</v>
      </c>
      <c r="C30" s="6" t="s">
        <v>44</v>
      </c>
      <c r="D30" s="8">
        <v>0.0</v>
      </c>
      <c r="E30" s="6"/>
      <c r="F30" s="6"/>
      <c r="G30" s="6"/>
      <c r="H30" s="6"/>
      <c r="I30" s="8">
        <v>50.0</v>
      </c>
      <c r="J30" s="8">
        <v>100.0</v>
      </c>
      <c r="K30" s="6"/>
      <c r="L30" s="8">
        <v>425.0</v>
      </c>
      <c r="M30" s="8">
        <v>100.0</v>
      </c>
      <c r="N30" s="8">
        <v>375.0</v>
      </c>
      <c r="O30" s="10">
        <v>100.0</v>
      </c>
      <c r="P30" s="11"/>
      <c r="Q30" s="10">
        <v>205.0</v>
      </c>
      <c r="R30" s="11"/>
      <c r="S30" s="6"/>
      <c r="T30" s="6"/>
    </row>
    <row r="31" ht="15.75" customHeight="1">
      <c r="A31" s="6" t="s">
        <v>61</v>
      </c>
      <c r="B31" s="12" t="s">
        <v>62</v>
      </c>
      <c r="C31" s="8">
        <v>6870.0</v>
      </c>
      <c r="D31" s="8">
        <v>420.0</v>
      </c>
      <c r="E31" s="6"/>
      <c r="F31" s="8">
        <v>430.0</v>
      </c>
      <c r="G31" s="6"/>
      <c r="H31" s="8">
        <v>1280.0</v>
      </c>
      <c r="I31" s="8">
        <v>600.0</v>
      </c>
      <c r="J31" s="8">
        <v>375.0</v>
      </c>
      <c r="K31" s="6"/>
      <c r="L31" s="8">
        <v>3720.0</v>
      </c>
      <c r="M31" s="8">
        <v>120980.0</v>
      </c>
      <c r="N31" s="8">
        <v>3120.0</v>
      </c>
      <c r="O31" s="10">
        <v>1705.0</v>
      </c>
      <c r="P31" s="10">
        <v>1265.0</v>
      </c>
      <c r="Q31" s="10">
        <v>915.0</v>
      </c>
      <c r="R31" s="10">
        <v>800.0</v>
      </c>
      <c r="S31" s="6"/>
      <c r="T31" s="6"/>
    </row>
    <row r="32" ht="15.75" customHeight="1">
      <c r="A32" s="6" t="s">
        <v>63</v>
      </c>
      <c r="B32" s="7" t="s">
        <v>64</v>
      </c>
      <c r="C32" s="8">
        <v>12975.0</v>
      </c>
      <c r="D32" s="8">
        <v>100.0</v>
      </c>
      <c r="E32" s="8">
        <v>730.0</v>
      </c>
      <c r="F32" s="8">
        <v>1405.0</v>
      </c>
      <c r="G32" s="8">
        <v>205.0</v>
      </c>
      <c r="H32" s="8">
        <v>260.0</v>
      </c>
      <c r="I32" s="8">
        <v>420.0</v>
      </c>
      <c r="J32" s="6"/>
      <c r="K32" s="8">
        <v>430.0</v>
      </c>
      <c r="L32" s="8">
        <v>315.0</v>
      </c>
      <c r="M32" s="8">
        <v>800.0</v>
      </c>
      <c r="N32" s="6"/>
      <c r="O32" s="10">
        <v>670.0</v>
      </c>
      <c r="P32" s="10">
        <v>2050.0</v>
      </c>
      <c r="Q32" s="10">
        <v>545.0</v>
      </c>
      <c r="R32" s="10">
        <v>315.0</v>
      </c>
      <c r="S32" s="8"/>
      <c r="T32" s="8"/>
    </row>
    <row r="33" ht="15.75" customHeight="1">
      <c r="A33" s="6" t="s">
        <v>65</v>
      </c>
      <c r="B33" s="7" t="s">
        <v>66</v>
      </c>
      <c r="C33" s="8">
        <v>490.0</v>
      </c>
      <c r="D33" s="8">
        <v>365.0</v>
      </c>
      <c r="E33" s="8">
        <v>425.0</v>
      </c>
      <c r="F33" s="8">
        <v>430.0</v>
      </c>
      <c r="G33" s="8">
        <v>260.0</v>
      </c>
      <c r="H33" s="8">
        <v>425.0</v>
      </c>
      <c r="I33" s="6"/>
      <c r="J33" s="8">
        <v>490.0</v>
      </c>
      <c r="K33" s="8">
        <v>540.0</v>
      </c>
      <c r="L33" s="8">
        <v>1310.0</v>
      </c>
      <c r="M33" s="8">
        <v>420.0</v>
      </c>
      <c r="N33" s="8">
        <v>550.0</v>
      </c>
      <c r="O33" s="10">
        <v>675.0</v>
      </c>
      <c r="P33" s="10">
        <v>155.0</v>
      </c>
      <c r="Q33" s="10">
        <v>205.0</v>
      </c>
      <c r="R33" s="10">
        <v>315.0</v>
      </c>
      <c r="S33" s="8"/>
      <c r="T33" s="8"/>
    </row>
    <row r="34" ht="15.75" customHeight="1">
      <c r="A34" s="6" t="s">
        <v>67</v>
      </c>
      <c r="B34" s="7" t="s">
        <v>68</v>
      </c>
      <c r="C34" s="8">
        <v>1155.0</v>
      </c>
      <c r="D34" s="8">
        <v>490.0</v>
      </c>
      <c r="E34" s="8">
        <v>375.0</v>
      </c>
      <c r="F34" s="8">
        <v>260.0</v>
      </c>
      <c r="G34" s="8">
        <v>260.0</v>
      </c>
      <c r="H34" s="8">
        <v>550.0</v>
      </c>
      <c r="I34" s="8">
        <v>315.0</v>
      </c>
      <c r="J34" s="8">
        <v>305.0</v>
      </c>
      <c r="K34" s="8">
        <v>205.0</v>
      </c>
      <c r="L34" s="8">
        <v>480.0</v>
      </c>
      <c r="M34" s="8">
        <v>485.0</v>
      </c>
      <c r="N34" s="8">
        <v>600.0</v>
      </c>
      <c r="O34" s="10">
        <v>260.0</v>
      </c>
      <c r="P34" s="10">
        <v>790.0</v>
      </c>
      <c r="Q34" s="10">
        <v>5685.0</v>
      </c>
      <c r="R34" s="10">
        <v>550.0</v>
      </c>
      <c r="S34" s="8"/>
      <c r="T34" s="8"/>
    </row>
    <row r="35" ht="15.75" customHeight="1">
      <c r="A35" s="6" t="s">
        <v>69</v>
      </c>
      <c r="B35" s="7" t="s">
        <v>70</v>
      </c>
      <c r="C35" s="8">
        <v>3010.0</v>
      </c>
      <c r="D35" s="8">
        <v>0.0</v>
      </c>
      <c r="E35" s="8">
        <v>100.0</v>
      </c>
      <c r="F35" s="8">
        <v>150.0</v>
      </c>
      <c r="G35" s="8">
        <v>315.0</v>
      </c>
      <c r="H35" s="8">
        <v>260.0</v>
      </c>
      <c r="I35" s="6"/>
      <c r="J35" s="8">
        <v>260.0</v>
      </c>
      <c r="K35" s="8">
        <v>155.0</v>
      </c>
      <c r="L35" s="8">
        <v>3065.0</v>
      </c>
      <c r="M35" s="8">
        <v>430.0</v>
      </c>
      <c r="N35" s="8">
        <v>315.0</v>
      </c>
      <c r="O35" s="10">
        <v>100.0</v>
      </c>
      <c r="P35" s="10">
        <v>205.0</v>
      </c>
      <c r="Q35" s="10">
        <v>935.0</v>
      </c>
      <c r="R35" s="10">
        <v>675.0</v>
      </c>
      <c r="S35" s="8"/>
      <c r="T35" s="8"/>
    </row>
    <row r="36" ht="15.75" customHeight="1">
      <c r="A36" s="6"/>
      <c r="B36" s="13"/>
      <c r="C36" s="6"/>
      <c r="D36" s="6"/>
      <c r="E36" s="6"/>
      <c r="F36" s="6"/>
      <c r="G36" s="6"/>
      <c r="H36" s="6"/>
      <c r="I36" s="6"/>
      <c r="J36" s="6"/>
      <c r="K36" s="6"/>
      <c r="L36" s="8"/>
      <c r="M36" s="8"/>
      <c r="N36" s="8"/>
      <c r="O36" s="10"/>
      <c r="P36" s="10"/>
      <c r="Q36" s="10"/>
      <c r="R36" s="10"/>
      <c r="S36" s="8"/>
      <c r="T36" s="8"/>
    </row>
    <row r="37" ht="15.75" customHeight="1">
      <c r="A37" s="6"/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6"/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6"/>
      <c r="B39" s="16"/>
      <c r="C39" s="17"/>
      <c r="D39" s="17"/>
      <c r="E39" s="17"/>
      <c r="F39" s="17"/>
      <c r="G39" s="17"/>
      <c r="H39" s="8"/>
      <c r="I39" s="17"/>
      <c r="J39" s="17"/>
      <c r="K39" s="8"/>
      <c r="L39" s="8"/>
      <c r="M39" s="8"/>
      <c r="N39" s="18"/>
      <c r="O39" s="18"/>
      <c r="P39" s="18"/>
      <c r="Q39" s="18"/>
      <c r="R39" s="18"/>
    </row>
    <row r="40" ht="15.75" customHeight="1">
      <c r="A40" s="6"/>
      <c r="B40" s="11"/>
      <c r="C40" s="10"/>
      <c r="D40" s="10"/>
      <c r="E40" s="10"/>
      <c r="F40" s="8"/>
      <c r="G40" s="8"/>
      <c r="H40" s="8"/>
      <c r="I40" s="17"/>
      <c r="J40" s="10"/>
      <c r="K40" s="19"/>
      <c r="L40" s="10"/>
      <c r="M40" s="10"/>
      <c r="N40" s="10"/>
      <c r="O40" s="10"/>
      <c r="P40" s="10"/>
      <c r="Q40" s="10"/>
      <c r="R40" s="10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33.0"/>
  </cols>
  <sheetData>
    <row r="1" ht="15.75" customHeight="1">
      <c r="A1" s="6" t="s">
        <v>0</v>
      </c>
      <c r="B1" s="2" t="s">
        <v>1</v>
      </c>
      <c r="C1" s="3">
        <v>44342.0</v>
      </c>
      <c r="D1" s="3">
        <v>44349.0</v>
      </c>
      <c r="E1" s="20">
        <v>44356.0</v>
      </c>
      <c r="F1" s="20">
        <v>44363.0</v>
      </c>
      <c r="G1" s="20">
        <v>44370.0</v>
      </c>
      <c r="H1" s="20">
        <v>44377.0</v>
      </c>
      <c r="I1" s="20">
        <v>44384.0</v>
      </c>
      <c r="J1" s="20">
        <v>44391.0</v>
      </c>
      <c r="K1" s="20">
        <v>44398.0</v>
      </c>
      <c r="L1" s="20">
        <v>44405.0</v>
      </c>
      <c r="M1" s="20">
        <v>44412.0</v>
      </c>
      <c r="N1" s="20">
        <v>44419.0</v>
      </c>
      <c r="O1" s="20">
        <v>44433.0</v>
      </c>
      <c r="P1" s="16"/>
      <c r="Q1" s="21"/>
      <c r="R1" s="21"/>
      <c r="S1" s="6"/>
    </row>
    <row r="2" ht="15.75" customHeight="1">
      <c r="A2" s="6" t="s">
        <v>2</v>
      </c>
      <c r="B2" s="7" t="s">
        <v>3</v>
      </c>
      <c r="C2" s="8">
        <v>50.0</v>
      </c>
      <c r="D2" s="8">
        <v>100.0</v>
      </c>
      <c r="E2" s="8">
        <v>315.0</v>
      </c>
      <c r="F2" s="8">
        <v>205.0</v>
      </c>
      <c r="G2" s="8">
        <v>365.0</v>
      </c>
      <c r="H2" s="8">
        <v>420.0</v>
      </c>
      <c r="I2" s="8">
        <v>430.0</v>
      </c>
      <c r="J2" s="8">
        <v>50.0</v>
      </c>
      <c r="K2" s="8">
        <v>205.0</v>
      </c>
      <c r="L2" s="8">
        <v>50.0</v>
      </c>
      <c r="M2" s="8">
        <v>100.0</v>
      </c>
      <c r="N2" s="8">
        <v>0.0</v>
      </c>
      <c r="O2" s="6"/>
    </row>
    <row r="3" ht="15.75" customHeight="1">
      <c r="A3" s="6" t="s">
        <v>4</v>
      </c>
      <c r="B3" s="7" t="s">
        <v>5</v>
      </c>
      <c r="C3" s="6" t="s">
        <v>71</v>
      </c>
      <c r="D3" s="8">
        <v>600.0</v>
      </c>
      <c r="E3" s="8">
        <v>1750.0</v>
      </c>
      <c r="F3" s="8">
        <v>550.0</v>
      </c>
      <c r="G3" s="8">
        <v>315.0</v>
      </c>
      <c r="H3" s="8">
        <v>430.0</v>
      </c>
      <c r="I3" s="22">
        <v>605.0</v>
      </c>
      <c r="J3" s="8">
        <v>205.0</v>
      </c>
      <c r="K3" s="8">
        <v>375.0</v>
      </c>
      <c r="L3" s="8">
        <v>1460.0</v>
      </c>
      <c r="M3" s="8">
        <v>260.0</v>
      </c>
      <c r="N3" s="8">
        <v>315.0</v>
      </c>
      <c r="O3" s="8">
        <v>670.0</v>
      </c>
    </row>
    <row r="4" ht="15.75" customHeight="1">
      <c r="A4" s="6" t="s">
        <v>6</v>
      </c>
      <c r="B4" s="7" t="s">
        <v>7</v>
      </c>
      <c r="C4" s="8">
        <v>0.0</v>
      </c>
      <c r="D4" s="8">
        <v>0.0</v>
      </c>
      <c r="E4" s="8">
        <v>315.0</v>
      </c>
      <c r="F4" s="8">
        <v>100.0</v>
      </c>
      <c r="G4" s="8">
        <v>100.0</v>
      </c>
      <c r="H4" s="8">
        <v>50.0</v>
      </c>
      <c r="I4" s="8">
        <v>100.0</v>
      </c>
      <c r="J4" s="8">
        <v>315.0</v>
      </c>
      <c r="K4" s="8">
        <v>425.0</v>
      </c>
      <c r="L4" s="8">
        <v>425.0</v>
      </c>
      <c r="M4" s="8">
        <v>255.0</v>
      </c>
      <c r="N4" s="8">
        <v>995.0</v>
      </c>
      <c r="O4" s="6"/>
    </row>
    <row r="5" ht="15.75" customHeight="1">
      <c r="A5" s="6" t="s">
        <v>8</v>
      </c>
      <c r="B5" s="7" t="s">
        <v>9</v>
      </c>
      <c r="C5" s="8">
        <v>50.0</v>
      </c>
      <c r="D5" s="8">
        <v>0.0</v>
      </c>
      <c r="E5" s="8">
        <v>260.0</v>
      </c>
      <c r="F5" s="8">
        <v>100.0</v>
      </c>
      <c r="G5" s="8">
        <v>425.0</v>
      </c>
      <c r="H5" s="8">
        <v>490.0</v>
      </c>
      <c r="I5" s="8">
        <v>100.0</v>
      </c>
      <c r="J5" s="8">
        <v>100.0</v>
      </c>
      <c r="K5" s="8">
        <v>430.0</v>
      </c>
      <c r="L5" s="8">
        <v>1005.0</v>
      </c>
      <c r="M5" s="8">
        <v>545.0</v>
      </c>
      <c r="N5" s="8">
        <v>317.5</v>
      </c>
      <c r="O5" s="8">
        <v>205.0</v>
      </c>
    </row>
    <row r="6" ht="15.75" customHeight="1">
      <c r="A6" s="6" t="s">
        <v>10</v>
      </c>
      <c r="B6" s="7" t="s">
        <v>11</v>
      </c>
      <c r="C6" s="8">
        <v>50.0</v>
      </c>
      <c r="D6" s="8">
        <v>100.0</v>
      </c>
      <c r="E6" s="8">
        <v>935.0</v>
      </c>
      <c r="F6" s="8">
        <v>100.0</v>
      </c>
      <c r="G6" s="8">
        <v>100.0</v>
      </c>
      <c r="H6" s="8">
        <v>315.0</v>
      </c>
      <c r="I6" s="8">
        <v>0.0</v>
      </c>
      <c r="J6" s="8">
        <v>2100.0</v>
      </c>
      <c r="K6" s="8">
        <v>50.0</v>
      </c>
      <c r="L6" s="8">
        <v>150.0</v>
      </c>
      <c r="M6" s="8">
        <v>0.0</v>
      </c>
      <c r="N6" s="8">
        <v>1310.0</v>
      </c>
      <c r="O6" s="8">
        <v>260.0</v>
      </c>
    </row>
    <row r="7" ht="15.75" customHeight="1">
      <c r="A7" s="6" t="s">
        <v>12</v>
      </c>
      <c r="B7" s="7" t="s">
        <v>13</v>
      </c>
      <c r="C7" s="8">
        <v>100.0</v>
      </c>
      <c r="D7" s="8">
        <v>205.0</v>
      </c>
      <c r="E7" s="8">
        <v>315.0</v>
      </c>
      <c r="F7" s="6"/>
      <c r="G7" s="8">
        <v>370.0</v>
      </c>
      <c r="H7" s="8">
        <v>675.0</v>
      </c>
      <c r="I7" s="8">
        <v>50.0</v>
      </c>
      <c r="J7" s="8">
        <v>100.0</v>
      </c>
      <c r="K7" s="8">
        <v>720.0</v>
      </c>
      <c r="L7" s="8">
        <v>1655.0</v>
      </c>
      <c r="M7" s="8">
        <v>670.0</v>
      </c>
      <c r="N7" s="8">
        <v>205.0</v>
      </c>
      <c r="O7" s="6"/>
    </row>
    <row r="8" ht="15.75" customHeight="1">
      <c r="A8" s="6" t="s">
        <v>14</v>
      </c>
      <c r="B8" s="7" t="s">
        <v>15</v>
      </c>
      <c r="C8" s="8">
        <v>205.0</v>
      </c>
      <c r="D8" s="8">
        <v>545.0</v>
      </c>
      <c r="E8" s="8">
        <v>2770.0</v>
      </c>
      <c r="F8" s="8">
        <v>550.0</v>
      </c>
      <c r="G8" s="8">
        <v>155.0</v>
      </c>
      <c r="H8" s="8">
        <v>1680.0</v>
      </c>
      <c r="I8" s="8">
        <v>260.0</v>
      </c>
      <c r="J8" s="8">
        <v>4795.0</v>
      </c>
      <c r="K8" s="8">
        <v>720.0</v>
      </c>
      <c r="L8" s="8">
        <v>480.0</v>
      </c>
      <c r="M8" s="8">
        <v>935.0</v>
      </c>
      <c r="N8" s="8">
        <v>610.0</v>
      </c>
      <c r="O8" s="8">
        <v>150.0</v>
      </c>
    </row>
    <row r="9" ht="15.75" customHeight="1">
      <c r="A9" s="6" t="s">
        <v>16</v>
      </c>
      <c r="B9" s="7" t="s">
        <v>17</v>
      </c>
      <c r="C9" s="8">
        <v>255.0</v>
      </c>
      <c r="D9" s="8">
        <v>100.0</v>
      </c>
      <c r="E9" s="8">
        <v>965.0</v>
      </c>
      <c r="F9" s="8">
        <v>205.0</v>
      </c>
      <c r="G9" s="8">
        <v>740.0</v>
      </c>
      <c r="H9" s="8">
        <v>1080.0</v>
      </c>
      <c r="I9" s="8">
        <v>305.0</v>
      </c>
      <c r="J9" s="8">
        <v>100.0</v>
      </c>
      <c r="K9" s="8">
        <v>1005.0</v>
      </c>
      <c r="L9" s="8">
        <v>670.0</v>
      </c>
      <c r="M9" s="8">
        <v>50.0</v>
      </c>
      <c r="N9" s="8">
        <v>3120.0</v>
      </c>
      <c r="O9" s="8">
        <v>155.0</v>
      </c>
    </row>
    <row r="10" ht="15.75" customHeight="1">
      <c r="A10" s="6" t="s">
        <v>18</v>
      </c>
      <c r="B10" s="6" t="s">
        <v>19</v>
      </c>
      <c r="C10" s="8">
        <v>100.0</v>
      </c>
      <c r="D10" s="8">
        <v>260.0</v>
      </c>
      <c r="E10" s="8">
        <v>740.0</v>
      </c>
      <c r="F10" s="8">
        <v>485.0</v>
      </c>
      <c r="G10" s="8">
        <v>205.0</v>
      </c>
      <c r="H10" s="8">
        <v>670.0</v>
      </c>
      <c r="I10" s="8">
        <v>260.0</v>
      </c>
      <c r="J10" s="8">
        <v>995.0</v>
      </c>
      <c r="K10" s="8">
        <v>490.0</v>
      </c>
      <c r="L10" s="8">
        <v>925.0</v>
      </c>
      <c r="M10" s="6"/>
      <c r="N10" s="6"/>
      <c r="O10" s="6"/>
    </row>
    <row r="11" ht="15.75" customHeight="1">
      <c r="A11" s="6" t="s">
        <v>20</v>
      </c>
      <c r="B11" s="7" t="s">
        <v>21</v>
      </c>
      <c r="C11" s="8">
        <v>100.0</v>
      </c>
      <c r="D11" s="8">
        <v>0.0</v>
      </c>
      <c r="E11" s="8">
        <v>490.0</v>
      </c>
      <c r="F11" s="8">
        <v>0.0</v>
      </c>
      <c r="G11" s="8">
        <v>150.0</v>
      </c>
      <c r="H11" s="8">
        <v>50.0</v>
      </c>
      <c r="I11" s="8">
        <v>0.0</v>
      </c>
      <c r="J11" s="8">
        <v>100.0</v>
      </c>
      <c r="K11" s="8">
        <v>545.0</v>
      </c>
      <c r="L11" s="8">
        <v>790.0</v>
      </c>
      <c r="M11" s="8">
        <v>155.0</v>
      </c>
      <c r="N11" s="8">
        <v>365.0</v>
      </c>
      <c r="O11" s="6"/>
    </row>
    <row r="12" ht="15.75" customHeight="1">
      <c r="A12" s="6" t="s">
        <v>72</v>
      </c>
      <c r="B12" s="13" t="s">
        <v>73</v>
      </c>
      <c r="C12" s="8">
        <v>260.0</v>
      </c>
      <c r="D12" s="8">
        <v>205.0</v>
      </c>
      <c r="E12" s="8">
        <v>1895.0</v>
      </c>
      <c r="F12" s="8">
        <v>155.0</v>
      </c>
      <c r="G12" s="8">
        <v>205.0</v>
      </c>
      <c r="H12" s="8">
        <v>2685.0</v>
      </c>
      <c r="I12" s="8">
        <v>155.0</v>
      </c>
      <c r="J12" s="8">
        <v>7195.0</v>
      </c>
      <c r="K12" s="8">
        <v>1360.0</v>
      </c>
      <c r="L12" s="8">
        <v>1325.0</v>
      </c>
      <c r="M12" s="8">
        <v>305.0</v>
      </c>
      <c r="N12" s="8">
        <v>155.0</v>
      </c>
      <c r="O12" s="8">
        <v>995.0</v>
      </c>
    </row>
    <row r="13" ht="15.75" customHeight="1">
      <c r="A13" s="6" t="s">
        <v>22</v>
      </c>
      <c r="B13" s="7" t="s">
        <v>23</v>
      </c>
      <c r="C13" s="6" t="s">
        <v>71</v>
      </c>
      <c r="D13" s="8">
        <v>155.0</v>
      </c>
      <c r="E13" s="8">
        <v>205.0</v>
      </c>
      <c r="F13" s="8">
        <v>100.0</v>
      </c>
      <c r="G13" s="8">
        <v>155.0</v>
      </c>
      <c r="H13" s="8">
        <v>315.0</v>
      </c>
      <c r="I13" s="8">
        <v>100.0</v>
      </c>
      <c r="J13" s="8">
        <v>0.0</v>
      </c>
      <c r="K13" s="8">
        <v>535.0</v>
      </c>
      <c r="L13" s="8">
        <v>800.0</v>
      </c>
      <c r="M13" s="6"/>
      <c r="N13" s="8">
        <v>660.0</v>
      </c>
      <c r="O13" s="6"/>
    </row>
    <row r="14" ht="15.75" customHeight="1">
      <c r="A14" s="6" t="s">
        <v>74</v>
      </c>
      <c r="B14" s="13" t="s">
        <v>75</v>
      </c>
      <c r="C14" s="8">
        <v>255.0</v>
      </c>
      <c r="D14" s="8">
        <v>100.0</v>
      </c>
      <c r="E14" s="8">
        <v>975.0</v>
      </c>
      <c r="F14" s="8">
        <v>655.0</v>
      </c>
      <c r="G14" s="8">
        <v>800.0</v>
      </c>
      <c r="H14" s="8">
        <v>425.0</v>
      </c>
      <c r="I14" s="6"/>
      <c r="J14" s="8">
        <v>4795.0</v>
      </c>
      <c r="K14" s="8">
        <v>1295.0</v>
      </c>
      <c r="L14" s="8">
        <v>315.0</v>
      </c>
      <c r="M14" s="8">
        <v>150.0</v>
      </c>
      <c r="N14" s="8">
        <v>3100.0</v>
      </c>
      <c r="O14" s="8">
        <v>1615.0</v>
      </c>
    </row>
    <row r="15" ht="15.75" customHeight="1">
      <c r="A15" s="6" t="s">
        <v>24</v>
      </c>
      <c r="B15" s="7" t="s">
        <v>25</v>
      </c>
      <c r="C15" s="8">
        <v>260.0</v>
      </c>
      <c r="D15" s="8">
        <v>100.0</v>
      </c>
      <c r="E15" s="8">
        <v>260.0</v>
      </c>
      <c r="F15" s="8">
        <v>0.0</v>
      </c>
      <c r="G15" s="8">
        <v>205.0</v>
      </c>
      <c r="H15" s="8">
        <v>375.0</v>
      </c>
      <c r="I15" s="8">
        <v>205.0</v>
      </c>
      <c r="J15" s="8">
        <v>155.0</v>
      </c>
      <c r="K15" s="8">
        <v>720.0</v>
      </c>
      <c r="L15" s="8">
        <v>315.0</v>
      </c>
      <c r="M15" s="8">
        <v>100.0</v>
      </c>
      <c r="N15" s="8">
        <v>1345.0</v>
      </c>
      <c r="O15" s="8">
        <v>205.0</v>
      </c>
    </row>
    <row r="16" ht="15.75" customHeight="1">
      <c r="A16" s="6" t="s">
        <v>26</v>
      </c>
      <c r="B16" s="7" t="s">
        <v>27</v>
      </c>
      <c r="C16" s="8">
        <v>50.0</v>
      </c>
      <c r="D16" s="8">
        <v>315.0</v>
      </c>
      <c r="E16" s="8">
        <v>845.0</v>
      </c>
      <c r="F16" s="8">
        <v>50.0</v>
      </c>
      <c r="G16" s="8">
        <v>205.0</v>
      </c>
      <c r="H16" s="8">
        <v>725.0</v>
      </c>
      <c r="I16" s="8">
        <v>260.0</v>
      </c>
      <c r="J16" s="8">
        <v>1395.0</v>
      </c>
      <c r="K16" s="8">
        <v>365.0</v>
      </c>
      <c r="L16" s="8">
        <v>610.0</v>
      </c>
      <c r="M16" s="8">
        <v>370.0</v>
      </c>
      <c r="N16" s="6"/>
      <c r="O16" s="8">
        <v>260.0</v>
      </c>
    </row>
    <row r="17" ht="15.75" customHeight="1">
      <c r="A17" s="6" t="s">
        <v>28</v>
      </c>
      <c r="B17" s="7" t="s">
        <v>29</v>
      </c>
      <c r="C17" s="8">
        <v>50.0</v>
      </c>
      <c r="D17" s="8">
        <v>205.0</v>
      </c>
      <c r="E17" s="8">
        <v>1155.0</v>
      </c>
      <c r="F17" s="8">
        <v>375.0</v>
      </c>
      <c r="G17" s="8">
        <v>720.0</v>
      </c>
      <c r="H17" s="8">
        <v>2815.0</v>
      </c>
      <c r="I17" s="8">
        <v>480.0</v>
      </c>
      <c r="J17" s="8">
        <v>2825.0</v>
      </c>
      <c r="K17" s="8">
        <v>875.0</v>
      </c>
      <c r="L17" s="6"/>
      <c r="M17" s="8">
        <v>485.0</v>
      </c>
      <c r="N17" s="6"/>
      <c r="O17" s="8">
        <v>740.0</v>
      </c>
    </row>
    <row r="18" ht="15.75" customHeight="1">
      <c r="A18" s="6" t="s">
        <v>30</v>
      </c>
      <c r="B18" s="7" t="s">
        <v>31</v>
      </c>
      <c r="C18" s="6" t="s">
        <v>71</v>
      </c>
      <c r="D18" s="6" t="s">
        <v>71</v>
      </c>
      <c r="E18" s="6" t="s">
        <v>71</v>
      </c>
      <c r="F18" s="8">
        <v>150.0</v>
      </c>
      <c r="G18" s="8">
        <v>430.0</v>
      </c>
      <c r="H18" s="8">
        <v>205.0</v>
      </c>
      <c r="I18" s="8">
        <v>155.0</v>
      </c>
      <c r="J18" s="8">
        <v>155.0</v>
      </c>
      <c r="K18" s="8">
        <v>315.0</v>
      </c>
      <c r="L18" s="8">
        <v>1330.0</v>
      </c>
      <c r="M18" s="8">
        <v>100.0</v>
      </c>
      <c r="N18" s="8">
        <v>1055.0</v>
      </c>
      <c r="O18" s="6"/>
    </row>
    <row r="19" ht="15.75" customHeight="1">
      <c r="A19" s="6" t="s">
        <v>76</v>
      </c>
      <c r="B19" s="12" t="s">
        <v>77</v>
      </c>
      <c r="C19" s="6"/>
      <c r="D19" s="6"/>
      <c r="E19" s="6"/>
      <c r="F19" s="6"/>
      <c r="G19" s="8">
        <v>205.0</v>
      </c>
      <c r="H19" s="8">
        <v>50.0</v>
      </c>
      <c r="I19" s="8">
        <v>0.0</v>
      </c>
      <c r="J19" s="8">
        <v>50.0</v>
      </c>
      <c r="K19" s="8">
        <v>660.0</v>
      </c>
      <c r="L19" s="8">
        <v>375.0</v>
      </c>
      <c r="M19" s="8">
        <v>100.0</v>
      </c>
      <c r="N19" s="8">
        <v>50.0</v>
      </c>
      <c r="O19" s="8">
        <v>150.0</v>
      </c>
    </row>
    <row r="20" ht="15.75" customHeight="1">
      <c r="A20" s="6" t="s">
        <v>32</v>
      </c>
      <c r="B20" s="7" t="s">
        <v>33</v>
      </c>
      <c r="C20" s="8">
        <v>500.0</v>
      </c>
      <c r="D20" s="8">
        <v>260.0</v>
      </c>
      <c r="E20" s="8">
        <v>260.0</v>
      </c>
      <c r="F20" s="8">
        <v>260.0</v>
      </c>
      <c r="G20" s="8">
        <v>485.0</v>
      </c>
      <c r="H20" s="8">
        <v>1055.0</v>
      </c>
      <c r="I20" s="8">
        <v>50.0</v>
      </c>
      <c r="J20" s="8">
        <v>150.0</v>
      </c>
      <c r="K20" s="8">
        <v>545.0</v>
      </c>
      <c r="L20" s="8">
        <v>1080.0</v>
      </c>
      <c r="M20" s="8">
        <v>260.0</v>
      </c>
      <c r="N20" s="8">
        <v>370.0</v>
      </c>
      <c r="O20" s="8">
        <v>260.0</v>
      </c>
    </row>
    <row r="21" ht="15.75" customHeight="1">
      <c r="A21" s="6" t="s">
        <v>34</v>
      </c>
      <c r="B21" s="7" t="s">
        <v>35</v>
      </c>
      <c r="C21" s="6" t="s">
        <v>71</v>
      </c>
      <c r="D21" s="6" t="s">
        <v>71</v>
      </c>
      <c r="E21" s="6" t="s">
        <v>71</v>
      </c>
      <c r="F21" s="6" t="s">
        <v>71</v>
      </c>
      <c r="G21" s="6" t="s">
        <v>71</v>
      </c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 t="s">
        <v>38</v>
      </c>
      <c r="B22" s="7" t="s">
        <v>39</v>
      </c>
      <c r="C22" s="6" t="s">
        <v>71</v>
      </c>
      <c r="D22" s="6" t="s">
        <v>71</v>
      </c>
      <c r="E22" s="6" t="s">
        <v>71</v>
      </c>
      <c r="F22" s="6"/>
      <c r="G22" s="6" t="s">
        <v>71</v>
      </c>
      <c r="H22" s="6"/>
      <c r="I22" s="6"/>
      <c r="J22" s="6"/>
      <c r="K22" s="6"/>
      <c r="L22" s="6"/>
      <c r="M22" s="8">
        <v>595.0</v>
      </c>
      <c r="N22" s="8">
        <v>7105.0</v>
      </c>
      <c r="O22" s="8">
        <v>725.0</v>
      </c>
    </row>
    <row r="23" ht="15.75" customHeight="1">
      <c r="A23" s="6" t="s">
        <v>40</v>
      </c>
      <c r="B23" s="7" t="s">
        <v>41</v>
      </c>
      <c r="C23" s="6" t="s">
        <v>71</v>
      </c>
      <c r="D23" s="8">
        <v>660.0</v>
      </c>
      <c r="E23" s="8">
        <v>3385.0</v>
      </c>
      <c r="F23" s="6"/>
      <c r="G23" s="6" t="s">
        <v>71</v>
      </c>
      <c r="H23" s="6"/>
      <c r="I23" s="6"/>
      <c r="J23" s="6"/>
      <c r="K23" s="6"/>
      <c r="L23" s="6"/>
      <c r="M23" s="8">
        <v>205.0</v>
      </c>
      <c r="N23" s="8">
        <v>4065.0</v>
      </c>
      <c r="O23" s="8">
        <v>375.0</v>
      </c>
    </row>
    <row r="24" ht="15.75" customHeight="1">
      <c r="A24" s="6" t="s">
        <v>42</v>
      </c>
      <c r="B24" s="12" t="s">
        <v>43</v>
      </c>
      <c r="C24" s="8">
        <v>50.0</v>
      </c>
      <c r="D24" s="8">
        <v>0.0</v>
      </c>
      <c r="E24" s="8">
        <v>425.0</v>
      </c>
      <c r="F24" s="8">
        <v>150.0</v>
      </c>
      <c r="G24" s="8">
        <v>0.0</v>
      </c>
      <c r="H24" s="8">
        <v>1215.0</v>
      </c>
      <c r="I24" s="8">
        <v>50.0</v>
      </c>
      <c r="J24" s="8">
        <v>800.0</v>
      </c>
      <c r="K24" s="8">
        <v>100.0</v>
      </c>
      <c r="L24" s="8">
        <v>50.0</v>
      </c>
      <c r="M24" s="8">
        <v>675.0</v>
      </c>
      <c r="N24" s="8">
        <v>205.0</v>
      </c>
      <c r="O24" s="8">
        <v>155.0</v>
      </c>
    </row>
    <row r="25" ht="15.75" customHeight="1">
      <c r="A25" s="6" t="s">
        <v>45</v>
      </c>
      <c r="B25" s="7" t="s">
        <v>46</v>
      </c>
      <c r="C25" s="8">
        <v>100.0</v>
      </c>
      <c r="D25" s="8">
        <v>0.0</v>
      </c>
      <c r="E25" s="8">
        <v>1045.0</v>
      </c>
      <c r="F25" s="8">
        <v>155.0</v>
      </c>
      <c r="G25" s="8">
        <v>315.0</v>
      </c>
      <c r="H25" s="8">
        <v>1525.0</v>
      </c>
      <c r="I25" s="8">
        <v>375.0</v>
      </c>
      <c r="J25" s="8">
        <v>315.0</v>
      </c>
      <c r="K25" s="8">
        <v>260.0</v>
      </c>
      <c r="L25" s="8">
        <v>315.0</v>
      </c>
      <c r="M25" s="8">
        <v>205.0</v>
      </c>
      <c r="N25" s="8">
        <v>1055.0</v>
      </c>
      <c r="O25" s="6"/>
    </row>
    <row r="26" ht="15.75" customHeight="1">
      <c r="A26" s="6" t="s">
        <v>47</v>
      </c>
      <c r="B26" s="13" t="s">
        <v>48</v>
      </c>
      <c r="C26" s="8">
        <v>315.0</v>
      </c>
      <c r="D26" s="8">
        <v>205.0</v>
      </c>
      <c r="E26" s="8">
        <v>1505.0</v>
      </c>
      <c r="F26" s="8">
        <v>675.0</v>
      </c>
      <c r="G26" s="8">
        <v>375.0</v>
      </c>
      <c r="H26" s="8">
        <v>1245.0</v>
      </c>
      <c r="I26" s="8">
        <v>205.0</v>
      </c>
      <c r="J26" s="8">
        <v>2110.0</v>
      </c>
      <c r="K26" s="8">
        <v>905.0</v>
      </c>
      <c r="L26" s="8">
        <v>10490.0</v>
      </c>
      <c r="M26" s="8">
        <v>945.0</v>
      </c>
      <c r="N26" s="8">
        <v>315.0</v>
      </c>
      <c r="O26" s="8">
        <v>670.0</v>
      </c>
    </row>
    <row r="27" ht="15.75" customHeight="1">
      <c r="A27" s="6" t="s">
        <v>49</v>
      </c>
      <c r="B27" s="7" t="s">
        <v>50</v>
      </c>
      <c r="C27" s="8">
        <v>315.0</v>
      </c>
      <c r="D27" s="8">
        <v>260.0</v>
      </c>
      <c r="E27" s="8">
        <v>315.0</v>
      </c>
      <c r="F27" s="8">
        <v>540.0</v>
      </c>
      <c r="G27" s="8">
        <v>935.0</v>
      </c>
      <c r="H27" s="6"/>
      <c r="I27" s="8">
        <v>155.0</v>
      </c>
      <c r="J27" s="8">
        <v>3945.0</v>
      </c>
      <c r="K27" s="8">
        <v>670.0</v>
      </c>
      <c r="L27" s="8">
        <v>2100.0</v>
      </c>
      <c r="M27" s="8">
        <v>1165.0</v>
      </c>
      <c r="N27" s="8">
        <v>490.0</v>
      </c>
      <c r="O27" s="8">
        <v>260.0</v>
      </c>
    </row>
    <row r="28" ht="15.75" customHeight="1">
      <c r="A28" s="6" t="s">
        <v>51</v>
      </c>
      <c r="B28" s="12" t="s">
        <v>52</v>
      </c>
      <c r="C28" s="8">
        <v>475.0</v>
      </c>
      <c r="D28" s="8">
        <v>670.0</v>
      </c>
      <c r="E28" s="8">
        <v>670.0</v>
      </c>
      <c r="F28" s="8">
        <v>50.0</v>
      </c>
      <c r="G28" s="8">
        <v>100.0</v>
      </c>
      <c r="H28" s="8">
        <v>100.0</v>
      </c>
      <c r="I28" s="8">
        <v>100.0</v>
      </c>
      <c r="J28" s="8">
        <v>50.0</v>
      </c>
      <c r="K28" s="8">
        <v>50.0</v>
      </c>
      <c r="L28" s="8">
        <v>3640.0</v>
      </c>
      <c r="M28" s="8">
        <v>100.0</v>
      </c>
      <c r="N28" s="8">
        <v>155.0</v>
      </c>
      <c r="O28" s="8">
        <v>155.0</v>
      </c>
    </row>
    <row r="29" ht="15.75" customHeight="1">
      <c r="A29" s="6" t="s">
        <v>53</v>
      </c>
      <c r="B29" s="12" t="s">
        <v>54</v>
      </c>
      <c r="C29" s="8">
        <v>0.0</v>
      </c>
      <c r="D29" s="8">
        <v>100.0</v>
      </c>
      <c r="E29" s="8">
        <v>50.0</v>
      </c>
      <c r="F29" s="6"/>
      <c r="G29" s="8">
        <v>50.0</v>
      </c>
      <c r="H29" s="8">
        <v>100.0</v>
      </c>
      <c r="I29" s="8">
        <v>0.0</v>
      </c>
      <c r="J29" s="8">
        <v>0.0</v>
      </c>
      <c r="K29" s="8">
        <v>0.0</v>
      </c>
      <c r="L29" s="8">
        <v>0.0</v>
      </c>
      <c r="M29" s="8">
        <v>50.0</v>
      </c>
      <c r="N29" s="8">
        <v>0.0</v>
      </c>
      <c r="O29" s="8">
        <v>0.0</v>
      </c>
    </row>
    <row r="30" ht="15.75" customHeight="1">
      <c r="A30" s="6" t="s">
        <v>55</v>
      </c>
      <c r="B30" s="6" t="s">
        <v>56</v>
      </c>
      <c r="C30" s="8">
        <v>0.0</v>
      </c>
      <c r="D30" s="8">
        <v>0.0</v>
      </c>
      <c r="E30" s="8">
        <v>1055.0</v>
      </c>
      <c r="F30" s="8">
        <v>50.0</v>
      </c>
      <c r="G30" s="8">
        <v>420.0</v>
      </c>
      <c r="H30" s="8">
        <v>100.0</v>
      </c>
      <c r="I30" s="8">
        <v>0.0</v>
      </c>
      <c r="J30" s="8">
        <v>790.0</v>
      </c>
      <c r="K30" s="8">
        <v>3200.0</v>
      </c>
      <c r="L30" s="8">
        <v>150.0</v>
      </c>
      <c r="M30" s="8">
        <v>475.0</v>
      </c>
      <c r="N30" s="8">
        <v>100.0</v>
      </c>
      <c r="O30" s="8">
        <v>150.0</v>
      </c>
    </row>
    <row r="31" ht="15.75" customHeight="1">
      <c r="A31" s="6" t="s">
        <v>78</v>
      </c>
      <c r="B31" s="6" t="s">
        <v>79</v>
      </c>
      <c r="C31" s="8">
        <v>50.0</v>
      </c>
      <c r="D31" s="8">
        <v>150.0</v>
      </c>
      <c r="E31" s="8">
        <v>730.0</v>
      </c>
      <c r="F31" s="6"/>
      <c r="G31" s="8">
        <v>545.0</v>
      </c>
      <c r="H31" s="8">
        <v>660.0</v>
      </c>
      <c r="I31" s="8">
        <v>155.0</v>
      </c>
      <c r="J31" s="8">
        <v>370.0</v>
      </c>
      <c r="K31" s="8">
        <v>260.0</v>
      </c>
      <c r="L31" s="8">
        <v>205.0</v>
      </c>
      <c r="M31" s="8">
        <v>50.0</v>
      </c>
      <c r="N31" s="8">
        <v>1920.0</v>
      </c>
      <c r="O31" s="8">
        <v>100.0</v>
      </c>
    </row>
    <row r="32" ht="15.75" customHeight="1">
      <c r="A32" s="6" t="s">
        <v>57</v>
      </c>
      <c r="B32" s="6" t="s">
        <v>58</v>
      </c>
      <c r="C32" s="8">
        <v>155.0</v>
      </c>
      <c r="D32" s="8">
        <v>50.0</v>
      </c>
      <c r="E32" s="8">
        <v>660.0</v>
      </c>
      <c r="F32" s="6" t="s">
        <v>71</v>
      </c>
      <c r="G32" s="8">
        <v>150.0</v>
      </c>
      <c r="H32" s="8">
        <v>315.0</v>
      </c>
      <c r="I32" s="8">
        <v>50.0</v>
      </c>
      <c r="J32" s="8">
        <v>50.0</v>
      </c>
      <c r="K32" s="8">
        <v>100.0</v>
      </c>
      <c r="L32" s="6"/>
      <c r="M32" s="8">
        <v>375.0</v>
      </c>
      <c r="N32" s="6"/>
      <c r="O32" s="6"/>
    </row>
    <row r="33" ht="15.75" customHeight="1">
      <c r="A33" s="6" t="s">
        <v>59</v>
      </c>
      <c r="B33" s="12" t="s">
        <v>60</v>
      </c>
      <c r="C33" s="8">
        <v>0.0</v>
      </c>
      <c r="D33" s="6" t="s">
        <v>71</v>
      </c>
      <c r="E33" s="8">
        <v>155.0</v>
      </c>
      <c r="F33" s="6" t="s">
        <v>71</v>
      </c>
      <c r="G33" s="8">
        <v>50.0</v>
      </c>
      <c r="H33" s="8">
        <v>430.0</v>
      </c>
      <c r="I33" s="8">
        <v>100.0</v>
      </c>
      <c r="J33" s="6"/>
      <c r="K33" s="8">
        <v>0.0</v>
      </c>
      <c r="L33" s="6"/>
      <c r="M33" s="6"/>
      <c r="N33" s="6"/>
      <c r="O33" s="8">
        <v>50.0</v>
      </c>
    </row>
    <row r="34" ht="15.75" customHeight="1">
      <c r="A34" s="6" t="s">
        <v>61</v>
      </c>
      <c r="B34" s="12" t="s">
        <v>62</v>
      </c>
      <c r="C34" s="8">
        <v>260.0</v>
      </c>
      <c r="D34" s="6" t="s">
        <v>71</v>
      </c>
      <c r="E34" s="8">
        <v>310.0</v>
      </c>
      <c r="F34" s="8">
        <v>605.0</v>
      </c>
      <c r="G34" s="8">
        <v>490.0</v>
      </c>
      <c r="H34" s="8">
        <v>370.0</v>
      </c>
      <c r="I34" s="6"/>
      <c r="J34" s="8">
        <v>725.0</v>
      </c>
      <c r="K34" s="8">
        <v>430.0</v>
      </c>
      <c r="L34" s="8">
        <v>3100.0</v>
      </c>
      <c r="M34" s="8">
        <v>725.0</v>
      </c>
      <c r="N34" s="8">
        <v>430.0</v>
      </c>
      <c r="O34" s="6"/>
    </row>
    <row r="35" ht="15.75" customHeight="1">
      <c r="A35" s="6" t="s">
        <v>63</v>
      </c>
      <c r="B35" s="7" t="s">
        <v>64</v>
      </c>
      <c r="C35" s="8">
        <v>670.0</v>
      </c>
      <c r="D35" s="8">
        <v>315.0</v>
      </c>
      <c r="E35" s="8">
        <v>260.0</v>
      </c>
      <c r="F35" s="8">
        <v>430.0</v>
      </c>
      <c r="G35" s="8">
        <v>490.0</v>
      </c>
      <c r="H35" s="8">
        <v>205.0</v>
      </c>
      <c r="I35" s="8">
        <v>425.0</v>
      </c>
      <c r="J35" s="8">
        <v>730.0</v>
      </c>
      <c r="K35" s="8">
        <v>1460.0</v>
      </c>
      <c r="L35" s="8">
        <v>1230.0</v>
      </c>
      <c r="M35" s="8">
        <v>550.0</v>
      </c>
      <c r="N35" s="8">
        <v>945.0</v>
      </c>
      <c r="O35" s="8">
        <v>1015.0</v>
      </c>
    </row>
    <row r="36" ht="15.75" customHeight="1">
      <c r="A36" s="6" t="s">
        <v>65</v>
      </c>
      <c r="B36" s="7" t="s">
        <v>66</v>
      </c>
      <c r="C36" s="8">
        <v>100.0</v>
      </c>
      <c r="D36" s="8">
        <v>50.0</v>
      </c>
      <c r="E36" s="8">
        <v>4410.0</v>
      </c>
      <c r="F36" s="8">
        <v>375.0</v>
      </c>
      <c r="G36" s="8">
        <v>660.0</v>
      </c>
      <c r="H36" s="8">
        <v>315.0</v>
      </c>
      <c r="I36" s="8">
        <v>205.0</v>
      </c>
      <c r="J36" s="6"/>
      <c r="K36" s="8">
        <v>260.0</v>
      </c>
      <c r="L36" s="8">
        <v>155.0</v>
      </c>
      <c r="M36" s="8">
        <v>260.0</v>
      </c>
      <c r="N36" s="8">
        <v>0.0</v>
      </c>
      <c r="O36" s="8">
        <v>150.0</v>
      </c>
    </row>
    <row r="37" ht="15.75" customHeight="1">
      <c r="A37" s="6" t="s">
        <v>67</v>
      </c>
      <c r="B37" s="7" t="s">
        <v>68</v>
      </c>
      <c r="C37" s="8">
        <v>485.0</v>
      </c>
      <c r="D37" s="8">
        <v>100.0</v>
      </c>
      <c r="E37" s="8">
        <v>1140.0</v>
      </c>
      <c r="F37" s="8">
        <v>205.0</v>
      </c>
      <c r="G37" s="8">
        <v>660.0</v>
      </c>
      <c r="H37" s="8">
        <v>205.0</v>
      </c>
      <c r="I37" s="8">
        <v>485.0</v>
      </c>
      <c r="J37" s="8">
        <v>100.0</v>
      </c>
      <c r="K37" s="8">
        <v>550.0</v>
      </c>
      <c r="L37" s="8">
        <v>1705.0</v>
      </c>
      <c r="M37" s="8">
        <v>155.0</v>
      </c>
      <c r="N37" s="8">
        <v>315.0</v>
      </c>
      <c r="O37" s="8">
        <v>255.0</v>
      </c>
    </row>
    <row r="38" ht="15.75" customHeight="1">
      <c r="A38" s="6" t="s">
        <v>69</v>
      </c>
      <c r="B38" s="7" t="s">
        <v>70</v>
      </c>
      <c r="C38" s="8">
        <v>430.0</v>
      </c>
      <c r="D38" s="8">
        <v>205.0</v>
      </c>
      <c r="E38" s="8">
        <v>2400.0</v>
      </c>
      <c r="F38" s="8">
        <v>485.0</v>
      </c>
      <c r="G38" s="8">
        <v>730.0</v>
      </c>
      <c r="H38" s="8">
        <v>1130.0</v>
      </c>
      <c r="I38" s="8">
        <v>260.0</v>
      </c>
      <c r="J38" s="8">
        <v>150.0</v>
      </c>
      <c r="K38" s="8">
        <v>205.0</v>
      </c>
      <c r="L38" s="8">
        <v>605.0</v>
      </c>
      <c r="M38" s="8">
        <v>550.0</v>
      </c>
      <c r="N38" s="8">
        <v>485.0</v>
      </c>
      <c r="O38" s="8">
        <v>315.0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34.38"/>
  </cols>
  <sheetData>
    <row r="1" ht="15.75" customHeight="1">
      <c r="A1" s="6" t="s">
        <v>0</v>
      </c>
      <c r="B1" s="7" t="s">
        <v>1</v>
      </c>
      <c r="C1" s="20">
        <v>44706.0</v>
      </c>
      <c r="D1" s="20">
        <v>44713.0</v>
      </c>
      <c r="E1" s="20">
        <v>44720.0</v>
      </c>
      <c r="F1" s="20">
        <v>44727.0</v>
      </c>
      <c r="G1" s="20">
        <v>44734.0</v>
      </c>
      <c r="H1" s="20">
        <v>44741.0</v>
      </c>
      <c r="I1" s="20">
        <v>44748.0</v>
      </c>
      <c r="J1" s="20">
        <v>44755.0</v>
      </c>
      <c r="K1" s="20">
        <v>44762.0</v>
      </c>
      <c r="L1" s="20">
        <v>44769.0</v>
      </c>
      <c r="M1" s="20">
        <v>44776.0</v>
      </c>
      <c r="N1" s="20">
        <v>44783.0</v>
      </c>
      <c r="O1" s="20">
        <v>44790.0</v>
      </c>
      <c r="P1" s="20">
        <v>44797.0</v>
      </c>
      <c r="Q1" s="20">
        <v>44804.0</v>
      </c>
      <c r="R1" s="16"/>
    </row>
    <row r="2" ht="15.75" customHeight="1">
      <c r="A2" s="6" t="s">
        <v>2</v>
      </c>
      <c r="B2" s="7" t="s">
        <v>3</v>
      </c>
      <c r="C2" s="8">
        <v>205.0</v>
      </c>
      <c r="D2" s="8">
        <v>155.0</v>
      </c>
      <c r="E2" s="6"/>
      <c r="F2" s="8">
        <v>865.0</v>
      </c>
      <c r="G2" s="8">
        <v>50.0</v>
      </c>
      <c r="H2" s="8">
        <v>205.0</v>
      </c>
      <c r="I2" s="8">
        <v>360.0</v>
      </c>
      <c r="J2" s="8">
        <v>370.0</v>
      </c>
      <c r="K2" s="8">
        <v>100.0</v>
      </c>
      <c r="L2" s="8">
        <v>375.0</v>
      </c>
      <c r="M2" s="8">
        <v>260.0</v>
      </c>
      <c r="N2" s="8">
        <v>605.0</v>
      </c>
      <c r="O2" s="8">
        <v>915.0</v>
      </c>
      <c r="P2" s="8">
        <v>155.0</v>
      </c>
      <c r="Q2" s="11"/>
    </row>
    <row r="3" ht="15.75" customHeight="1">
      <c r="A3" s="6" t="s">
        <v>80</v>
      </c>
      <c r="B3" s="23" t="s">
        <v>81</v>
      </c>
      <c r="C3" s="8">
        <v>365.0</v>
      </c>
      <c r="D3" s="6"/>
      <c r="E3" s="6"/>
      <c r="F3" s="8">
        <v>925.0</v>
      </c>
      <c r="G3" s="8">
        <v>315.0</v>
      </c>
      <c r="H3" s="8">
        <v>600.0</v>
      </c>
      <c r="I3" s="6"/>
      <c r="J3" s="6"/>
      <c r="K3" s="8">
        <v>855.0</v>
      </c>
      <c r="L3" s="8">
        <v>1190.0</v>
      </c>
      <c r="M3" s="8">
        <v>315.0</v>
      </c>
      <c r="N3" s="6"/>
      <c r="O3" s="6"/>
      <c r="P3" s="6"/>
      <c r="Q3" s="11"/>
    </row>
    <row r="4" ht="15.75" customHeight="1">
      <c r="A4" s="6" t="s">
        <v>82</v>
      </c>
      <c r="B4" s="7" t="s">
        <v>5</v>
      </c>
      <c r="C4" s="8">
        <v>1985.0</v>
      </c>
      <c r="D4" s="6"/>
      <c r="E4" s="8">
        <v>375.0</v>
      </c>
      <c r="F4" s="8">
        <v>315.0</v>
      </c>
      <c r="G4" s="6"/>
      <c r="H4" s="8">
        <v>1015.0</v>
      </c>
      <c r="I4" s="6"/>
      <c r="J4" s="8">
        <v>12405.0</v>
      </c>
      <c r="K4" s="8">
        <v>1495.0</v>
      </c>
      <c r="L4" s="8">
        <v>9780.0</v>
      </c>
      <c r="M4" s="8">
        <v>675.0</v>
      </c>
      <c r="N4" s="8">
        <v>6665.0</v>
      </c>
      <c r="O4" s="8">
        <v>610.0</v>
      </c>
      <c r="P4" s="8">
        <v>1045.0</v>
      </c>
      <c r="Q4" s="10">
        <v>1565.0</v>
      </c>
    </row>
    <row r="5" ht="15.75" customHeight="1">
      <c r="A5" s="13" t="s">
        <v>6</v>
      </c>
      <c r="B5" s="7" t="s">
        <v>7</v>
      </c>
      <c r="C5" s="8">
        <v>1140.0</v>
      </c>
      <c r="D5" s="8">
        <v>150.0</v>
      </c>
      <c r="E5" s="6"/>
      <c r="F5" s="8">
        <v>945.0</v>
      </c>
      <c r="G5" s="8">
        <v>0.0</v>
      </c>
      <c r="H5" s="6"/>
      <c r="I5" s="6"/>
      <c r="J5" s="8">
        <v>1005.0</v>
      </c>
      <c r="K5" s="6"/>
      <c r="L5" s="8">
        <v>490.0</v>
      </c>
      <c r="M5" s="6"/>
      <c r="N5" s="8">
        <v>1475.0</v>
      </c>
      <c r="O5" s="6"/>
      <c r="P5" s="8">
        <v>260.0</v>
      </c>
      <c r="Q5" s="10">
        <v>155.0</v>
      </c>
    </row>
    <row r="6" ht="15.75" customHeight="1">
      <c r="A6" s="6" t="s">
        <v>8</v>
      </c>
      <c r="B6" s="7" t="s">
        <v>9</v>
      </c>
      <c r="C6" s="8">
        <v>1635.0</v>
      </c>
      <c r="D6" s="8">
        <v>150.0</v>
      </c>
      <c r="E6" s="8">
        <v>205.0</v>
      </c>
      <c r="F6" s="8">
        <v>260.0</v>
      </c>
      <c r="G6" s="8">
        <v>0.0</v>
      </c>
      <c r="H6" s="8">
        <v>100.0</v>
      </c>
      <c r="I6" s="8">
        <v>4180.0</v>
      </c>
      <c r="J6" s="8">
        <v>375.0</v>
      </c>
      <c r="K6" s="8">
        <v>2325.0</v>
      </c>
      <c r="L6" s="8">
        <v>315.0</v>
      </c>
      <c r="M6" s="8">
        <v>485.0</v>
      </c>
      <c r="N6" s="8">
        <v>1920.0</v>
      </c>
      <c r="O6" s="8">
        <v>1155.0</v>
      </c>
      <c r="P6" s="8">
        <v>260.0</v>
      </c>
      <c r="Q6" s="10">
        <v>155.0</v>
      </c>
    </row>
    <row r="7" ht="15.75" customHeight="1">
      <c r="A7" s="13" t="s">
        <v>10</v>
      </c>
      <c r="B7" s="7" t="s">
        <v>11</v>
      </c>
      <c r="C7" s="8">
        <v>355.0</v>
      </c>
      <c r="D7" s="8">
        <v>50.0</v>
      </c>
      <c r="E7" s="8">
        <v>865.0</v>
      </c>
      <c r="F7" s="8">
        <v>100.0</v>
      </c>
      <c r="G7" s="8">
        <v>0.0</v>
      </c>
      <c r="H7" s="8">
        <v>0.0</v>
      </c>
      <c r="I7" s="8">
        <v>2970.0</v>
      </c>
      <c r="J7" s="8">
        <v>315.0</v>
      </c>
      <c r="K7" s="8">
        <v>0.0</v>
      </c>
      <c r="L7" s="8">
        <v>0.0</v>
      </c>
      <c r="M7" s="8">
        <v>100.0</v>
      </c>
      <c r="N7" s="8">
        <v>725.0</v>
      </c>
      <c r="O7" s="6"/>
      <c r="P7" s="6"/>
      <c r="Q7" s="10">
        <v>0.0</v>
      </c>
    </row>
    <row r="8" ht="15.75" customHeight="1">
      <c r="A8" s="6" t="s">
        <v>14</v>
      </c>
      <c r="B8" s="7" t="s">
        <v>15</v>
      </c>
      <c r="C8" s="8">
        <v>1245.0</v>
      </c>
      <c r="D8" s="8">
        <v>310.0</v>
      </c>
      <c r="E8" s="8">
        <v>205.0</v>
      </c>
      <c r="F8" s="8">
        <v>205.0</v>
      </c>
      <c r="G8" s="8">
        <v>100.0</v>
      </c>
      <c r="H8" s="8">
        <v>550.0</v>
      </c>
      <c r="I8" s="8">
        <v>1310.0</v>
      </c>
      <c r="J8" s="8">
        <v>660.0</v>
      </c>
      <c r="K8" s="8">
        <v>590.0</v>
      </c>
      <c r="L8" s="6"/>
      <c r="M8" s="8">
        <v>2175.0</v>
      </c>
      <c r="N8" s="8">
        <v>545.0</v>
      </c>
      <c r="O8" s="8">
        <v>730.0</v>
      </c>
      <c r="P8" s="8">
        <v>800.0</v>
      </c>
      <c r="Q8" s="11"/>
    </row>
    <row r="9" ht="15.75" customHeight="1">
      <c r="A9" s="6" t="s">
        <v>16</v>
      </c>
      <c r="B9" s="7" t="s">
        <v>17</v>
      </c>
      <c r="C9" s="8">
        <v>1590.0</v>
      </c>
      <c r="D9" s="8">
        <v>155.0</v>
      </c>
      <c r="E9" s="8">
        <v>155.0</v>
      </c>
      <c r="F9" s="8">
        <v>205.0</v>
      </c>
      <c r="G9" s="8">
        <v>0.0</v>
      </c>
      <c r="H9" s="8">
        <v>50.0</v>
      </c>
      <c r="I9" s="8">
        <v>3100.0</v>
      </c>
      <c r="J9" s="8">
        <v>11120.0</v>
      </c>
      <c r="K9" s="8">
        <v>7985.0</v>
      </c>
      <c r="L9" s="8">
        <v>205.0</v>
      </c>
      <c r="M9" s="8">
        <v>365.0</v>
      </c>
      <c r="N9" s="8">
        <v>1460.0</v>
      </c>
      <c r="O9" s="8">
        <v>6110.0</v>
      </c>
      <c r="P9" s="8">
        <v>0.0</v>
      </c>
      <c r="Q9" s="10">
        <v>155.0</v>
      </c>
    </row>
    <row r="10" ht="15.75" customHeight="1">
      <c r="A10" s="13" t="s">
        <v>18</v>
      </c>
      <c r="B10" s="6" t="s">
        <v>19</v>
      </c>
      <c r="C10" s="6"/>
      <c r="D10" s="8">
        <v>50.0</v>
      </c>
      <c r="E10" s="8">
        <v>50.0</v>
      </c>
      <c r="F10" s="8">
        <v>155.0</v>
      </c>
      <c r="G10" s="8">
        <v>315.0</v>
      </c>
      <c r="H10" s="8">
        <v>610.0</v>
      </c>
      <c r="I10" s="8">
        <v>425.0</v>
      </c>
      <c r="J10" s="8">
        <v>490.0</v>
      </c>
      <c r="K10" s="8">
        <v>155.0</v>
      </c>
      <c r="L10" s="8">
        <v>1615.0</v>
      </c>
      <c r="M10" s="8">
        <v>100.0</v>
      </c>
      <c r="N10" s="8">
        <v>490.0</v>
      </c>
      <c r="O10" s="8">
        <v>800.0</v>
      </c>
      <c r="P10" s="8">
        <v>430.0</v>
      </c>
      <c r="Q10" s="11"/>
    </row>
    <row r="11" ht="15.75" customHeight="1">
      <c r="A11" s="6" t="s">
        <v>20</v>
      </c>
      <c r="B11" s="7" t="s">
        <v>21</v>
      </c>
      <c r="C11" s="8">
        <v>995.0</v>
      </c>
      <c r="D11" s="8">
        <v>315.0</v>
      </c>
      <c r="E11" s="8">
        <v>0.0</v>
      </c>
      <c r="F11" s="8">
        <v>935.0</v>
      </c>
      <c r="G11" s="8">
        <v>0.0</v>
      </c>
      <c r="H11" s="8">
        <v>50.0</v>
      </c>
      <c r="I11" s="8">
        <v>155.0</v>
      </c>
      <c r="J11" s="8">
        <v>260.0</v>
      </c>
      <c r="K11" s="8">
        <v>255.0</v>
      </c>
      <c r="L11" s="8">
        <v>420.0</v>
      </c>
      <c r="M11" s="8">
        <v>50.0</v>
      </c>
      <c r="N11" s="8">
        <v>205.0</v>
      </c>
      <c r="O11" s="8">
        <v>420.0</v>
      </c>
      <c r="P11" s="6"/>
      <c r="Q11" s="10">
        <v>50.0</v>
      </c>
    </row>
    <row r="12" ht="15.75" customHeight="1">
      <c r="A12" s="6" t="s">
        <v>72</v>
      </c>
      <c r="B12" s="13" t="s">
        <v>73</v>
      </c>
      <c r="C12" s="8">
        <v>1655.0</v>
      </c>
      <c r="D12" s="8">
        <v>315.0</v>
      </c>
      <c r="E12" s="8">
        <v>0.0</v>
      </c>
      <c r="F12" s="8">
        <v>260.0</v>
      </c>
      <c r="G12" s="8">
        <v>255.0</v>
      </c>
      <c r="H12" s="8">
        <v>205.0</v>
      </c>
      <c r="I12" s="8">
        <v>1965.0</v>
      </c>
      <c r="J12" s="8">
        <v>375.0</v>
      </c>
      <c r="K12" s="8">
        <v>100.0</v>
      </c>
      <c r="L12" s="6"/>
      <c r="M12" s="8">
        <v>315.0</v>
      </c>
      <c r="N12" s="8">
        <v>865.0</v>
      </c>
      <c r="O12" s="8">
        <v>610.0</v>
      </c>
      <c r="P12" s="8">
        <v>1395.0</v>
      </c>
      <c r="Q12" s="11"/>
    </row>
    <row r="13" ht="15.75" customHeight="1">
      <c r="A13" s="6" t="s">
        <v>22</v>
      </c>
      <c r="B13" s="7" t="s">
        <v>23</v>
      </c>
      <c r="C13" s="6"/>
      <c r="D13" s="6"/>
      <c r="E13" s="8">
        <v>260.0</v>
      </c>
      <c r="F13" s="8">
        <v>100.0</v>
      </c>
      <c r="G13" s="8">
        <v>100.0</v>
      </c>
      <c r="H13" s="8">
        <v>50.0</v>
      </c>
      <c r="I13" s="6"/>
      <c r="J13" s="8">
        <v>4285.0</v>
      </c>
      <c r="K13" s="6"/>
      <c r="L13" s="8">
        <v>595.0</v>
      </c>
      <c r="M13" s="8">
        <v>50.0</v>
      </c>
      <c r="N13" s="8">
        <v>605.0</v>
      </c>
      <c r="O13" s="8">
        <v>740.0</v>
      </c>
      <c r="P13" s="8">
        <v>200.0</v>
      </c>
      <c r="Q13" s="10">
        <v>260.0</v>
      </c>
    </row>
    <row r="14" ht="15.75" customHeight="1">
      <c r="A14" s="6" t="s">
        <v>24</v>
      </c>
      <c r="B14" s="7" t="s">
        <v>25</v>
      </c>
      <c r="C14" s="8">
        <v>1005.0</v>
      </c>
      <c r="D14" s="8">
        <v>50.0</v>
      </c>
      <c r="E14" s="8">
        <v>205.0</v>
      </c>
      <c r="F14" s="8">
        <v>365.0</v>
      </c>
      <c r="G14" s="8">
        <v>100.0</v>
      </c>
      <c r="H14" s="8">
        <v>0.0</v>
      </c>
      <c r="I14" s="8">
        <v>2110.0</v>
      </c>
      <c r="J14" s="8">
        <v>5890.0</v>
      </c>
      <c r="K14" s="8">
        <v>605.0</v>
      </c>
      <c r="L14" s="8">
        <v>430.0</v>
      </c>
      <c r="M14" s="8">
        <v>100.0</v>
      </c>
      <c r="N14" s="8">
        <v>790.0</v>
      </c>
      <c r="O14" s="8">
        <v>600.0</v>
      </c>
      <c r="P14" s="8">
        <v>315.0</v>
      </c>
      <c r="Q14" s="10">
        <v>365.0</v>
      </c>
    </row>
    <row r="15" ht="15.75" customHeight="1">
      <c r="A15" s="6" t="s">
        <v>26</v>
      </c>
      <c r="B15" s="7" t="s">
        <v>27</v>
      </c>
      <c r="C15" s="8">
        <v>790.0</v>
      </c>
      <c r="D15" s="8">
        <v>155.0</v>
      </c>
      <c r="E15" s="8">
        <v>50.0</v>
      </c>
      <c r="F15" s="8">
        <v>260.0</v>
      </c>
      <c r="G15" s="8">
        <v>100.0</v>
      </c>
      <c r="H15" s="8">
        <v>205.0</v>
      </c>
      <c r="I15" s="8">
        <v>430.0</v>
      </c>
      <c r="J15" s="8">
        <v>1680.0</v>
      </c>
      <c r="K15" s="8">
        <v>260.0</v>
      </c>
      <c r="L15" s="8">
        <v>1345.0</v>
      </c>
      <c r="M15" s="8">
        <v>1375.0</v>
      </c>
      <c r="N15" s="8">
        <v>315.0</v>
      </c>
      <c r="O15" s="8">
        <v>1440.0</v>
      </c>
      <c r="P15" s="6"/>
      <c r="Q15" s="10">
        <v>50.0</v>
      </c>
    </row>
    <row r="16" ht="15.75" customHeight="1">
      <c r="A16" s="6" t="s">
        <v>30</v>
      </c>
      <c r="B16" s="7" t="s">
        <v>31</v>
      </c>
      <c r="C16" s="8">
        <v>1080.0</v>
      </c>
      <c r="D16" s="6"/>
      <c r="E16" s="8">
        <v>155.0</v>
      </c>
      <c r="F16" s="8">
        <v>725.0</v>
      </c>
      <c r="G16" s="8">
        <v>50.0</v>
      </c>
      <c r="H16" s="8">
        <v>50.0</v>
      </c>
      <c r="I16" s="8">
        <v>3010.0</v>
      </c>
      <c r="J16" s="8">
        <v>6570.0</v>
      </c>
      <c r="K16" s="8">
        <v>740.0</v>
      </c>
      <c r="L16" s="8">
        <v>1895.0</v>
      </c>
      <c r="M16" s="8">
        <v>205.0</v>
      </c>
      <c r="N16" s="8">
        <v>540.0</v>
      </c>
      <c r="O16" s="8">
        <v>425.0</v>
      </c>
      <c r="P16" s="8">
        <v>255.0</v>
      </c>
      <c r="Q16" s="10">
        <v>315.0</v>
      </c>
    </row>
    <row r="17" ht="15.75" customHeight="1">
      <c r="A17" s="6" t="s">
        <v>76</v>
      </c>
      <c r="B17" s="12" t="s">
        <v>77</v>
      </c>
      <c r="C17" s="8">
        <v>1310.0</v>
      </c>
      <c r="D17" s="8">
        <v>205.0</v>
      </c>
      <c r="E17" s="8">
        <v>100.0</v>
      </c>
      <c r="F17" s="8">
        <v>925.0</v>
      </c>
      <c r="G17" s="8">
        <v>0.0</v>
      </c>
      <c r="H17" s="8">
        <v>0.0</v>
      </c>
      <c r="I17" s="8">
        <v>155.0</v>
      </c>
      <c r="J17" s="8">
        <v>205.0</v>
      </c>
      <c r="K17" s="6"/>
      <c r="L17" s="8">
        <v>740.0</v>
      </c>
      <c r="M17" s="8">
        <v>155.0</v>
      </c>
      <c r="N17" s="8">
        <v>660.0</v>
      </c>
      <c r="O17" s="8">
        <v>855.0</v>
      </c>
      <c r="P17" s="6"/>
      <c r="Q17" s="11"/>
    </row>
    <row r="18" ht="15.75" customHeight="1">
      <c r="A18" s="6" t="s">
        <v>32</v>
      </c>
      <c r="B18" s="7" t="s">
        <v>33</v>
      </c>
      <c r="C18" s="8">
        <v>1440.0</v>
      </c>
      <c r="D18" s="8">
        <v>205.0</v>
      </c>
      <c r="E18" s="8">
        <v>100.0</v>
      </c>
      <c r="F18" s="8">
        <v>375.0</v>
      </c>
      <c r="G18" s="8">
        <v>205.0</v>
      </c>
      <c r="H18" s="8">
        <v>205.0</v>
      </c>
      <c r="I18" s="8">
        <v>8000.0</v>
      </c>
      <c r="J18" s="8">
        <v>3315.0</v>
      </c>
      <c r="K18" s="8">
        <v>1590.0</v>
      </c>
      <c r="L18" s="8">
        <v>740.0</v>
      </c>
      <c r="M18" s="8">
        <v>310.0</v>
      </c>
      <c r="N18" s="8">
        <v>6480.0</v>
      </c>
      <c r="O18" s="8">
        <v>1440.0</v>
      </c>
      <c r="P18" s="8">
        <v>260.0</v>
      </c>
      <c r="Q18" s="10">
        <v>605.0</v>
      </c>
    </row>
    <row r="19" ht="15.75" customHeight="1">
      <c r="A19" s="6" t="s">
        <v>34</v>
      </c>
      <c r="B19" s="7" t="s">
        <v>35</v>
      </c>
      <c r="C19" s="8">
        <v>1375.0</v>
      </c>
      <c r="D19" s="6"/>
      <c r="E19" s="8">
        <v>100.0</v>
      </c>
      <c r="F19" s="8">
        <v>205.0</v>
      </c>
      <c r="G19" s="8">
        <v>100.0</v>
      </c>
      <c r="H19" s="8">
        <v>260.0</v>
      </c>
      <c r="I19" s="8">
        <v>3540.0</v>
      </c>
      <c r="J19" s="8">
        <v>4795.0</v>
      </c>
      <c r="K19" s="8">
        <v>605.0</v>
      </c>
      <c r="L19" s="8">
        <v>475.0</v>
      </c>
      <c r="M19" s="8">
        <v>205.0</v>
      </c>
      <c r="N19" s="8">
        <v>865.0</v>
      </c>
      <c r="O19" s="8">
        <v>740.0</v>
      </c>
      <c r="P19" s="8">
        <v>260.0</v>
      </c>
      <c r="Q19" s="10">
        <v>375.0</v>
      </c>
    </row>
    <row r="20" ht="15.75" customHeight="1">
      <c r="A20" s="6" t="s">
        <v>83</v>
      </c>
      <c r="B20" s="24" t="s">
        <v>84</v>
      </c>
      <c r="C20" s="6"/>
      <c r="D20" s="6"/>
      <c r="E20" s="6"/>
      <c r="F20" s="6"/>
      <c r="G20" s="6"/>
      <c r="H20" s="8">
        <v>205.0</v>
      </c>
      <c r="I20" s="8">
        <v>3155.0</v>
      </c>
      <c r="J20" s="8">
        <v>12000.0</v>
      </c>
      <c r="K20" s="8">
        <v>6480.0</v>
      </c>
      <c r="L20" s="8">
        <v>205.0</v>
      </c>
      <c r="M20" s="6"/>
      <c r="N20" s="8">
        <v>2640.0</v>
      </c>
      <c r="O20" s="8">
        <v>30655.0</v>
      </c>
      <c r="P20" s="17">
        <v>205.0</v>
      </c>
      <c r="Q20" s="8">
        <v>205.0</v>
      </c>
    </row>
    <row r="21" ht="15.75" customHeight="1">
      <c r="A21" s="13" t="s">
        <v>40</v>
      </c>
      <c r="B21" s="7" t="s">
        <v>41</v>
      </c>
      <c r="C21" s="6"/>
      <c r="D21" s="6"/>
      <c r="E21" s="8">
        <v>205.0</v>
      </c>
      <c r="F21" s="6"/>
      <c r="G21" s="6"/>
      <c r="H21" s="8">
        <v>315.0</v>
      </c>
      <c r="I21" s="8">
        <v>1375.0</v>
      </c>
      <c r="J21" s="8">
        <v>15650.0</v>
      </c>
      <c r="K21" s="8">
        <v>7250.0</v>
      </c>
      <c r="L21" s="8">
        <v>375.0</v>
      </c>
      <c r="M21" s="6"/>
      <c r="N21" s="8">
        <v>3385.0</v>
      </c>
      <c r="O21" s="8">
        <v>20530.0</v>
      </c>
      <c r="P21" s="8">
        <v>260.0</v>
      </c>
      <c r="Q21" s="10">
        <v>260.0</v>
      </c>
    </row>
    <row r="22" ht="15.75" customHeight="1">
      <c r="A22" s="6" t="s">
        <v>45</v>
      </c>
      <c r="B22" s="7" t="s">
        <v>46</v>
      </c>
      <c r="C22" s="8">
        <v>865.0</v>
      </c>
      <c r="D22" s="8">
        <v>50.0</v>
      </c>
      <c r="E22" s="8">
        <v>50.0</v>
      </c>
      <c r="F22" s="8">
        <v>540.0</v>
      </c>
      <c r="G22" s="8">
        <v>155.0</v>
      </c>
      <c r="H22" s="8">
        <v>100.0</v>
      </c>
      <c r="I22" s="8">
        <v>600.0</v>
      </c>
      <c r="J22" s="8">
        <v>205.0</v>
      </c>
      <c r="K22" s="6"/>
      <c r="L22" s="8">
        <v>305.0</v>
      </c>
      <c r="M22" s="8">
        <v>315.0</v>
      </c>
      <c r="N22" s="8">
        <v>845.0</v>
      </c>
      <c r="O22" s="8">
        <v>4210.0</v>
      </c>
      <c r="P22" s="8">
        <v>730.0</v>
      </c>
      <c r="Q22" s="10">
        <v>370.0</v>
      </c>
    </row>
    <row r="23" ht="15.75" customHeight="1">
      <c r="A23" s="6" t="s">
        <v>47</v>
      </c>
      <c r="B23" s="13" t="s">
        <v>48</v>
      </c>
      <c r="C23" s="8">
        <v>315.0</v>
      </c>
      <c r="D23" s="8">
        <v>300.0</v>
      </c>
      <c r="E23" s="8">
        <v>370.0</v>
      </c>
      <c r="F23" s="8">
        <v>315.0</v>
      </c>
      <c r="G23" s="8">
        <v>260.0</v>
      </c>
      <c r="H23" s="8">
        <v>315.0</v>
      </c>
      <c r="I23" s="8">
        <v>8320.0</v>
      </c>
      <c r="J23" s="8">
        <v>315.0</v>
      </c>
      <c r="K23" s="8">
        <v>2780.0</v>
      </c>
      <c r="L23" s="8">
        <v>1140.0</v>
      </c>
      <c r="M23" s="8">
        <v>260.0</v>
      </c>
      <c r="N23" s="8">
        <v>730.0</v>
      </c>
      <c r="O23" s="6"/>
      <c r="P23" s="8">
        <v>315.0</v>
      </c>
      <c r="Q23" s="11"/>
    </row>
    <row r="24" ht="15.75" customHeight="1">
      <c r="A24" s="6" t="s">
        <v>49</v>
      </c>
      <c r="B24" s="7" t="s">
        <v>50</v>
      </c>
      <c r="C24" s="6"/>
      <c r="D24" s="6"/>
      <c r="E24" s="8">
        <v>155.0</v>
      </c>
      <c r="F24" s="8">
        <v>540.0</v>
      </c>
      <c r="G24" s="6"/>
      <c r="H24" s="8">
        <v>670.0</v>
      </c>
      <c r="I24" s="8">
        <v>1295.0</v>
      </c>
      <c r="J24" s="8">
        <v>365.0</v>
      </c>
      <c r="K24" s="8">
        <v>1615.0</v>
      </c>
      <c r="L24" s="8">
        <v>940.0</v>
      </c>
      <c r="M24" s="8">
        <v>260.0</v>
      </c>
      <c r="N24" s="8">
        <v>985.0</v>
      </c>
      <c r="O24" s="8">
        <v>1205.0</v>
      </c>
      <c r="P24" s="8">
        <v>205.0</v>
      </c>
      <c r="Q24" s="11"/>
    </row>
    <row r="25" ht="15.75" customHeight="1">
      <c r="A25" s="6" t="s">
        <v>51</v>
      </c>
      <c r="B25" s="12" t="s">
        <v>52</v>
      </c>
      <c r="C25" s="8">
        <v>1235.0</v>
      </c>
      <c r="D25" s="8">
        <v>50.0</v>
      </c>
      <c r="E25" s="8">
        <v>205.0</v>
      </c>
      <c r="F25" s="8">
        <v>315.0</v>
      </c>
      <c r="G25" s="8">
        <v>155.0</v>
      </c>
      <c r="H25" s="8">
        <v>50.0</v>
      </c>
      <c r="I25" s="8">
        <v>100.0</v>
      </c>
      <c r="J25" s="8">
        <v>550.0</v>
      </c>
      <c r="K25" s="8">
        <v>50.0</v>
      </c>
      <c r="L25" s="8">
        <v>0.0</v>
      </c>
      <c r="M25" s="8">
        <v>150.0</v>
      </c>
      <c r="N25" s="8">
        <v>100.0</v>
      </c>
      <c r="O25" s="8">
        <v>155.0</v>
      </c>
      <c r="P25" s="8">
        <v>100.0</v>
      </c>
      <c r="Q25" s="10">
        <v>50.0</v>
      </c>
    </row>
    <row r="26" ht="15.75" customHeight="1">
      <c r="A26" s="6" t="s">
        <v>85</v>
      </c>
      <c r="B26" s="23" t="s">
        <v>86</v>
      </c>
      <c r="C26" s="8">
        <v>790.0</v>
      </c>
      <c r="D26" s="6"/>
      <c r="E26" s="8">
        <v>490.0</v>
      </c>
      <c r="F26" s="8">
        <v>845.0</v>
      </c>
      <c r="G26" s="8">
        <v>315.0</v>
      </c>
      <c r="H26" s="8">
        <v>490.0</v>
      </c>
      <c r="I26" s="6"/>
      <c r="J26" s="6"/>
      <c r="K26" s="8">
        <v>1015.0</v>
      </c>
      <c r="L26" s="8">
        <v>4100.0</v>
      </c>
      <c r="M26" s="8">
        <v>535.0</v>
      </c>
      <c r="N26" s="6"/>
      <c r="O26" s="6"/>
      <c r="P26" s="6"/>
      <c r="Q26" s="11"/>
    </row>
    <row r="27" ht="15.75" customHeight="1">
      <c r="A27" s="6" t="s">
        <v>53</v>
      </c>
      <c r="B27" s="12" t="s">
        <v>54</v>
      </c>
      <c r="C27" s="8">
        <v>605.0</v>
      </c>
      <c r="D27" s="8">
        <v>50.0</v>
      </c>
      <c r="E27" s="8">
        <v>0.0</v>
      </c>
      <c r="F27" s="8">
        <v>0.0</v>
      </c>
      <c r="G27" s="8">
        <v>150.0</v>
      </c>
      <c r="H27" s="8">
        <v>50.0</v>
      </c>
      <c r="I27" s="8">
        <v>155.0</v>
      </c>
      <c r="J27" s="8">
        <v>155.0</v>
      </c>
      <c r="K27" s="8">
        <v>0.0</v>
      </c>
      <c r="L27" s="8">
        <v>50.0</v>
      </c>
      <c r="M27" s="8">
        <v>100.0</v>
      </c>
      <c r="N27" s="8">
        <v>0.0</v>
      </c>
      <c r="O27" s="8">
        <v>0.0</v>
      </c>
      <c r="P27" s="8">
        <v>0.0</v>
      </c>
      <c r="Q27" s="10">
        <v>0.0</v>
      </c>
    </row>
    <row r="28" ht="15.75" customHeight="1">
      <c r="A28" s="6" t="s">
        <v>55</v>
      </c>
      <c r="B28" s="6" t="s">
        <v>56</v>
      </c>
      <c r="C28" s="8">
        <v>1205.0</v>
      </c>
      <c r="D28" s="8">
        <v>100.0</v>
      </c>
      <c r="E28" s="8">
        <v>0.0</v>
      </c>
      <c r="F28" s="8">
        <v>100.0</v>
      </c>
      <c r="G28" s="8">
        <v>260.0</v>
      </c>
      <c r="H28" s="6"/>
      <c r="I28" s="8">
        <v>155.0</v>
      </c>
      <c r="J28" s="8">
        <v>375.0</v>
      </c>
      <c r="K28" s="8">
        <v>50.0</v>
      </c>
      <c r="L28" s="8">
        <v>375.0</v>
      </c>
      <c r="M28" s="8">
        <v>150.0</v>
      </c>
      <c r="N28" s="8">
        <v>50.0</v>
      </c>
      <c r="O28" s="8">
        <v>100.0</v>
      </c>
      <c r="P28" s="8">
        <v>50.0</v>
      </c>
      <c r="Q28" s="10">
        <v>260.0</v>
      </c>
    </row>
    <row r="29" ht="15.75" customHeight="1">
      <c r="A29" s="6" t="s">
        <v>78</v>
      </c>
      <c r="B29" s="6" t="s">
        <v>79</v>
      </c>
      <c r="C29" s="8">
        <v>450.0</v>
      </c>
      <c r="D29" s="8">
        <v>100.0</v>
      </c>
      <c r="E29" s="8">
        <v>260.0</v>
      </c>
      <c r="F29" s="8">
        <v>260.0</v>
      </c>
      <c r="G29" s="8">
        <v>205.0</v>
      </c>
      <c r="H29" s="8">
        <v>155.0</v>
      </c>
      <c r="I29" s="8">
        <v>845.0</v>
      </c>
      <c r="J29" s="8">
        <v>205.0</v>
      </c>
      <c r="K29" s="8">
        <v>610.0</v>
      </c>
      <c r="L29" s="8">
        <v>205.0</v>
      </c>
      <c r="M29" s="8">
        <v>155.0</v>
      </c>
      <c r="N29" s="8">
        <v>430.0</v>
      </c>
      <c r="O29" s="8">
        <v>50.0</v>
      </c>
      <c r="P29" s="8">
        <v>155.0</v>
      </c>
      <c r="Q29" s="10">
        <v>100.0</v>
      </c>
    </row>
    <row r="30" ht="15.75" customHeight="1">
      <c r="A30" s="6" t="s">
        <v>57</v>
      </c>
      <c r="B30" s="6" t="s">
        <v>58</v>
      </c>
      <c r="C30" s="6"/>
      <c r="D30" s="6"/>
      <c r="E30" s="8">
        <v>50.0</v>
      </c>
      <c r="F30" s="6"/>
      <c r="G30" s="8">
        <v>205.0</v>
      </c>
      <c r="H30" s="6"/>
      <c r="I30" s="8">
        <v>370.0</v>
      </c>
      <c r="J30" s="6"/>
      <c r="K30" s="6"/>
      <c r="L30" s="8">
        <v>100.0</v>
      </c>
      <c r="M30" s="6"/>
      <c r="N30" s="6"/>
      <c r="O30" s="6"/>
      <c r="P30" s="6"/>
      <c r="Q30" s="11"/>
    </row>
    <row r="31" ht="15.75" customHeight="1">
      <c r="A31" s="25" t="s">
        <v>59</v>
      </c>
      <c r="B31" s="12" t="s">
        <v>60</v>
      </c>
      <c r="C31" s="8">
        <v>995.0</v>
      </c>
      <c r="D31" s="8">
        <v>155.0</v>
      </c>
      <c r="E31" s="8">
        <v>0.0</v>
      </c>
      <c r="F31" s="8">
        <v>0.0</v>
      </c>
      <c r="G31" s="8">
        <v>0.0</v>
      </c>
      <c r="H31" s="8">
        <v>360.0</v>
      </c>
      <c r="I31" s="6"/>
      <c r="J31" s="6"/>
      <c r="K31" s="6"/>
      <c r="L31" s="6"/>
      <c r="M31" s="6"/>
      <c r="N31" s="6"/>
      <c r="O31" s="6"/>
      <c r="P31" s="6"/>
      <c r="Q31" s="11"/>
    </row>
    <row r="32" ht="15.75" customHeight="1">
      <c r="A32" s="6" t="s">
        <v>61</v>
      </c>
      <c r="B32" s="12" t="s">
        <v>62</v>
      </c>
      <c r="C32" s="8">
        <v>315.0</v>
      </c>
      <c r="D32" s="8">
        <v>365.0</v>
      </c>
      <c r="E32" s="6"/>
      <c r="F32" s="6"/>
      <c r="G32" s="8">
        <v>205.0</v>
      </c>
      <c r="H32" s="6"/>
      <c r="I32" s="8">
        <v>315.0</v>
      </c>
      <c r="J32" s="8">
        <v>1525.0</v>
      </c>
      <c r="K32" s="6"/>
      <c r="L32" s="6"/>
      <c r="M32" s="6"/>
      <c r="N32" s="6"/>
      <c r="O32" s="8">
        <v>670.0</v>
      </c>
      <c r="P32" s="6"/>
      <c r="Q32" s="11"/>
    </row>
    <row r="33" ht="15.75" customHeight="1">
      <c r="A33" s="6" t="s">
        <v>63</v>
      </c>
      <c r="B33" s="7" t="s">
        <v>64</v>
      </c>
      <c r="C33" s="8">
        <v>855.0</v>
      </c>
      <c r="D33" s="8">
        <v>3485.0</v>
      </c>
      <c r="E33" s="8">
        <v>1230.0</v>
      </c>
      <c r="F33" s="8">
        <v>425.0</v>
      </c>
      <c r="G33" s="8">
        <v>260.0</v>
      </c>
      <c r="H33" s="8">
        <v>600.0</v>
      </c>
      <c r="I33" s="8">
        <v>610.0</v>
      </c>
      <c r="J33" s="8">
        <v>1820.0</v>
      </c>
      <c r="K33" s="8">
        <v>1005.0</v>
      </c>
      <c r="L33" s="8">
        <v>1965.0</v>
      </c>
      <c r="M33" s="8">
        <v>800.0</v>
      </c>
      <c r="N33" s="8">
        <v>1205.0</v>
      </c>
      <c r="O33" s="8">
        <v>1360.0</v>
      </c>
      <c r="P33" s="6"/>
      <c r="Q33" s="10">
        <v>605.0</v>
      </c>
    </row>
    <row r="34" ht="15.75" customHeight="1">
      <c r="A34" s="6" t="s">
        <v>65</v>
      </c>
      <c r="B34" s="7" t="s">
        <v>66</v>
      </c>
      <c r="C34" s="8">
        <v>540.0</v>
      </c>
      <c r="D34" s="8">
        <v>50.0</v>
      </c>
      <c r="E34" s="8">
        <v>100.0</v>
      </c>
      <c r="F34" s="8">
        <v>0.0</v>
      </c>
      <c r="G34" s="8">
        <v>50.0</v>
      </c>
      <c r="H34" s="8">
        <v>205.0</v>
      </c>
      <c r="I34" s="8">
        <v>865.0</v>
      </c>
      <c r="J34" s="8">
        <v>2140.0</v>
      </c>
      <c r="K34" s="6"/>
      <c r="L34" s="8">
        <v>205.0</v>
      </c>
      <c r="M34" s="8">
        <v>50.0</v>
      </c>
      <c r="N34" s="8">
        <v>375.0</v>
      </c>
      <c r="O34" s="6"/>
      <c r="P34" s="8">
        <v>100.0</v>
      </c>
      <c r="Q34" s="10">
        <v>310.0</v>
      </c>
    </row>
    <row r="35" ht="15.75" customHeight="1">
      <c r="A35" s="6" t="s">
        <v>67</v>
      </c>
      <c r="B35" s="7" t="s">
        <v>68</v>
      </c>
      <c r="C35" s="8">
        <v>485.0</v>
      </c>
      <c r="D35" s="8">
        <v>50.0</v>
      </c>
      <c r="E35" s="8">
        <v>150.0</v>
      </c>
      <c r="F35" s="8">
        <v>205.0</v>
      </c>
      <c r="G35" s="8">
        <v>315.0</v>
      </c>
      <c r="H35" s="8">
        <v>100.0</v>
      </c>
      <c r="I35" s="8">
        <v>6585.0</v>
      </c>
      <c r="J35" s="8">
        <v>4545.0</v>
      </c>
      <c r="K35" s="8">
        <v>315.0</v>
      </c>
      <c r="L35" s="8">
        <v>2158.0</v>
      </c>
      <c r="M35" s="8">
        <v>420.0</v>
      </c>
      <c r="N35" s="8">
        <v>790.0</v>
      </c>
      <c r="O35" s="8">
        <v>490.0</v>
      </c>
      <c r="P35" s="8">
        <v>1330.0</v>
      </c>
      <c r="Q35" s="10">
        <v>485.0</v>
      </c>
    </row>
    <row r="36" ht="15.75" customHeight="1">
      <c r="A36" s="6" t="s">
        <v>69</v>
      </c>
      <c r="B36" s="7" t="s">
        <v>70</v>
      </c>
      <c r="C36" s="6"/>
      <c r="D36" s="6"/>
      <c r="E36" s="8">
        <v>260.0</v>
      </c>
      <c r="F36" s="8">
        <v>155.0</v>
      </c>
      <c r="G36" s="8">
        <v>260.0</v>
      </c>
      <c r="H36" s="8">
        <v>260.0</v>
      </c>
      <c r="I36" s="8">
        <v>2825.0</v>
      </c>
      <c r="J36" s="6"/>
      <c r="K36" s="8">
        <v>740.0</v>
      </c>
      <c r="L36" s="8">
        <v>985.0</v>
      </c>
      <c r="M36" s="8">
        <v>985.0</v>
      </c>
      <c r="N36" s="8">
        <v>600.0</v>
      </c>
      <c r="O36" s="8">
        <v>905.0</v>
      </c>
      <c r="P36" s="8">
        <v>100.0</v>
      </c>
      <c r="Q36" s="10">
        <v>375.0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34.38"/>
  </cols>
  <sheetData>
    <row r="1" ht="15.75" customHeight="1">
      <c r="A1" s="26" t="s">
        <v>0</v>
      </c>
      <c r="B1" s="26" t="s">
        <v>1</v>
      </c>
      <c r="C1" s="27">
        <v>45070.0</v>
      </c>
      <c r="D1" s="27">
        <v>45077.0</v>
      </c>
      <c r="E1" s="28">
        <v>45084.0</v>
      </c>
      <c r="F1" s="28">
        <v>45091.0</v>
      </c>
      <c r="G1" s="27">
        <v>45098.0</v>
      </c>
      <c r="H1" s="27">
        <v>45105.0</v>
      </c>
      <c r="I1" s="27">
        <v>45112.0</v>
      </c>
      <c r="J1" s="27">
        <v>45119.0</v>
      </c>
      <c r="K1" s="27">
        <v>45126.0</v>
      </c>
      <c r="L1" s="27">
        <v>45133.0</v>
      </c>
      <c r="M1" s="27">
        <v>45140.0</v>
      </c>
      <c r="N1" s="27">
        <v>45147.0</v>
      </c>
      <c r="O1" s="27">
        <v>45154.0</v>
      </c>
      <c r="P1" s="27">
        <v>45161.0</v>
      </c>
      <c r="Q1" s="27">
        <v>45168.0</v>
      </c>
    </row>
    <row r="2" ht="15.75" customHeight="1">
      <c r="A2" s="6" t="s">
        <v>2</v>
      </c>
      <c r="B2" s="7" t="s">
        <v>3</v>
      </c>
      <c r="C2" s="8">
        <v>100.0</v>
      </c>
      <c r="D2" s="8">
        <v>155.0</v>
      </c>
      <c r="E2" s="8">
        <v>0.0</v>
      </c>
      <c r="F2" s="6"/>
      <c r="G2" s="6"/>
      <c r="H2" s="6"/>
      <c r="I2" s="8">
        <v>0.0</v>
      </c>
      <c r="J2" s="6"/>
      <c r="K2" s="8">
        <v>50.0</v>
      </c>
      <c r="L2" s="6"/>
      <c r="M2" s="6"/>
      <c r="N2" s="8">
        <v>50.0</v>
      </c>
      <c r="O2" s="6"/>
      <c r="P2" s="8">
        <v>155.0</v>
      </c>
      <c r="Q2" s="8">
        <v>1310.0</v>
      </c>
    </row>
    <row r="3" ht="15.75" customHeight="1">
      <c r="A3" s="6" t="s">
        <v>80</v>
      </c>
      <c r="B3" s="23" t="s">
        <v>81</v>
      </c>
      <c r="C3" s="6"/>
      <c r="D3" s="8">
        <v>155.0</v>
      </c>
      <c r="E3" s="8">
        <v>155.0</v>
      </c>
      <c r="F3" s="8">
        <v>260.0</v>
      </c>
      <c r="G3" s="8">
        <v>2355.0</v>
      </c>
      <c r="H3" s="8">
        <v>310.0</v>
      </c>
      <c r="I3" s="8">
        <v>205.0</v>
      </c>
      <c r="J3" s="8">
        <v>315.0</v>
      </c>
      <c r="K3" s="8">
        <v>315.0</v>
      </c>
      <c r="L3" s="8">
        <v>1080.0</v>
      </c>
      <c r="M3" s="8">
        <v>155.0</v>
      </c>
      <c r="N3" s="8">
        <v>260.0</v>
      </c>
      <c r="O3" s="8">
        <v>50.0</v>
      </c>
      <c r="P3" s="8">
        <v>0.0</v>
      </c>
      <c r="Q3" s="8">
        <v>1375.0</v>
      </c>
    </row>
    <row r="4" ht="15.75" customHeight="1">
      <c r="A4" s="6" t="s">
        <v>87</v>
      </c>
      <c r="B4" s="24" t="s">
        <v>88</v>
      </c>
      <c r="C4" s="6"/>
      <c r="D4" s="6"/>
      <c r="E4" s="6"/>
      <c r="F4" s="6"/>
      <c r="G4" s="6"/>
      <c r="H4" s="6"/>
      <c r="I4" s="6"/>
      <c r="J4" s="6"/>
      <c r="K4" s="6"/>
      <c r="L4" s="6"/>
      <c r="M4" s="8">
        <v>0.0</v>
      </c>
      <c r="N4" s="8">
        <v>260.0</v>
      </c>
      <c r="O4" s="8">
        <v>945.0</v>
      </c>
      <c r="P4" s="8">
        <v>100.0</v>
      </c>
      <c r="Q4" s="8">
        <v>3065.0</v>
      </c>
    </row>
    <row r="5" ht="15.75" customHeight="1">
      <c r="A5" s="6" t="s">
        <v>82</v>
      </c>
      <c r="B5" s="7" t="s">
        <v>5</v>
      </c>
      <c r="C5" s="8">
        <v>377.5</v>
      </c>
      <c r="D5" s="6"/>
      <c r="E5" s="8">
        <v>550.0</v>
      </c>
      <c r="F5" s="8">
        <v>490.0</v>
      </c>
      <c r="G5" s="8">
        <v>10935.0</v>
      </c>
      <c r="H5" s="8">
        <v>790.0</v>
      </c>
      <c r="I5" s="6"/>
      <c r="J5" s="6"/>
      <c r="K5" s="6"/>
      <c r="L5" s="8">
        <v>800.0</v>
      </c>
      <c r="M5" s="8">
        <v>205.0</v>
      </c>
      <c r="N5" s="8">
        <v>490.0</v>
      </c>
      <c r="O5" s="8">
        <v>1295.0</v>
      </c>
      <c r="P5" s="8">
        <v>260.0</v>
      </c>
      <c r="Q5" s="8">
        <v>3105.0</v>
      </c>
    </row>
    <row r="6" ht="15.75" customHeight="1">
      <c r="A6" s="13" t="s">
        <v>6</v>
      </c>
      <c r="B6" s="7" t="s">
        <v>7</v>
      </c>
      <c r="C6" s="6"/>
      <c r="D6" s="6"/>
      <c r="E6" s="6"/>
      <c r="F6" s="6"/>
      <c r="G6" s="8">
        <v>605.0</v>
      </c>
      <c r="H6" s="8">
        <v>100.0</v>
      </c>
      <c r="I6" s="8">
        <v>155.0</v>
      </c>
      <c r="J6" s="8">
        <v>725.0</v>
      </c>
      <c r="K6" s="8">
        <v>205.0</v>
      </c>
      <c r="L6" s="8">
        <v>0.0</v>
      </c>
      <c r="M6" s="8">
        <v>50.0</v>
      </c>
      <c r="N6" s="8">
        <v>600.0</v>
      </c>
      <c r="O6" s="8">
        <v>730.0</v>
      </c>
      <c r="P6" s="8">
        <v>50.0</v>
      </c>
      <c r="Q6" s="8">
        <v>905.0</v>
      </c>
    </row>
    <row r="7" ht="15.75" customHeight="1">
      <c r="A7" s="6" t="s">
        <v>8</v>
      </c>
      <c r="B7" s="7" t="s">
        <v>9</v>
      </c>
      <c r="C7" s="8">
        <v>50.0</v>
      </c>
      <c r="D7" s="8">
        <v>50.0</v>
      </c>
      <c r="E7" s="8">
        <v>100.0</v>
      </c>
      <c r="F7" s="8">
        <v>50.0</v>
      </c>
      <c r="G7" s="8">
        <v>2050.0</v>
      </c>
      <c r="H7" s="8">
        <v>50.0</v>
      </c>
      <c r="I7" s="6"/>
      <c r="J7" s="8">
        <v>0.0</v>
      </c>
      <c r="K7" s="8">
        <v>50.0</v>
      </c>
      <c r="L7" s="8">
        <v>50.0</v>
      </c>
      <c r="M7" s="8">
        <v>100.0</v>
      </c>
      <c r="N7" s="8">
        <v>50.0</v>
      </c>
      <c r="O7" s="8">
        <v>155.0</v>
      </c>
      <c r="P7" s="8">
        <v>50.0</v>
      </c>
      <c r="Q7" s="8">
        <v>2215.0</v>
      </c>
    </row>
    <row r="8" ht="15.75" customHeight="1">
      <c r="A8" s="13" t="s">
        <v>10</v>
      </c>
      <c r="B8" s="7" t="s">
        <v>11</v>
      </c>
      <c r="C8" s="8">
        <v>50.0</v>
      </c>
      <c r="D8" s="6"/>
      <c r="E8" s="8">
        <v>0.0</v>
      </c>
      <c r="F8" s="8">
        <v>50.0</v>
      </c>
      <c r="G8" s="8">
        <v>2690.0</v>
      </c>
      <c r="H8" s="6"/>
      <c r="I8" s="8">
        <v>2630.0</v>
      </c>
      <c r="J8" s="6"/>
      <c r="K8" s="8">
        <v>9250.0</v>
      </c>
      <c r="L8" s="8">
        <v>50.0</v>
      </c>
      <c r="M8" s="6"/>
      <c r="N8" s="8">
        <v>100.0</v>
      </c>
      <c r="O8" s="8">
        <v>50.0</v>
      </c>
      <c r="P8" s="8">
        <v>0.0</v>
      </c>
      <c r="Q8" s="8">
        <v>430.0</v>
      </c>
    </row>
    <row r="9" ht="15.75" customHeight="1">
      <c r="A9" s="6" t="s">
        <v>14</v>
      </c>
      <c r="B9" s="7" t="s">
        <v>15</v>
      </c>
      <c r="C9" s="8">
        <v>260.0</v>
      </c>
      <c r="D9" s="8">
        <v>260.0</v>
      </c>
      <c r="E9" s="8">
        <v>205.0</v>
      </c>
      <c r="F9" s="8">
        <v>100.0</v>
      </c>
      <c r="G9" s="8">
        <v>1920.0</v>
      </c>
      <c r="H9" s="6"/>
      <c r="I9" s="6"/>
      <c r="J9" s="6"/>
      <c r="K9" s="8">
        <v>13015.0</v>
      </c>
      <c r="L9" s="8">
        <v>1395.0</v>
      </c>
      <c r="M9" s="8">
        <v>260.0</v>
      </c>
      <c r="N9" s="8">
        <v>375.0</v>
      </c>
      <c r="O9" s="8">
        <v>935.0</v>
      </c>
      <c r="P9" s="8">
        <v>260.0</v>
      </c>
      <c r="Q9" s="8">
        <v>2865.0</v>
      </c>
    </row>
    <row r="10" ht="15.75" customHeight="1">
      <c r="A10" s="6" t="s">
        <v>16</v>
      </c>
      <c r="B10" s="7" t="s">
        <v>17</v>
      </c>
      <c r="C10" s="8">
        <v>155.0</v>
      </c>
      <c r="D10" s="8">
        <v>155.0</v>
      </c>
      <c r="E10" s="8">
        <v>150.0</v>
      </c>
      <c r="F10" s="6"/>
      <c r="G10" s="8">
        <v>1555.0</v>
      </c>
      <c r="H10" s="8">
        <v>155.0</v>
      </c>
      <c r="I10" s="8">
        <v>855.0</v>
      </c>
      <c r="J10" s="8">
        <v>150.0</v>
      </c>
      <c r="K10" s="8">
        <v>865.0</v>
      </c>
      <c r="L10" s="6"/>
      <c r="M10" s="8">
        <v>50.0</v>
      </c>
      <c r="N10" s="8">
        <v>545.0</v>
      </c>
      <c r="O10" s="8">
        <v>605.0</v>
      </c>
      <c r="P10" s="8">
        <v>50.0</v>
      </c>
      <c r="Q10" s="8">
        <v>3250.0</v>
      </c>
    </row>
    <row r="11" ht="15.75" customHeight="1">
      <c r="A11" s="13" t="s">
        <v>89</v>
      </c>
      <c r="B11" s="6" t="s">
        <v>19</v>
      </c>
      <c r="C11" s="8">
        <v>260.0</v>
      </c>
      <c r="D11" s="8">
        <v>315.0</v>
      </c>
      <c r="E11" s="8">
        <v>205.0</v>
      </c>
      <c r="F11" s="8">
        <v>318.0</v>
      </c>
      <c r="G11" s="8">
        <v>7500.0</v>
      </c>
      <c r="H11" s="8">
        <v>205.0</v>
      </c>
      <c r="I11" s="8">
        <v>610.0</v>
      </c>
      <c r="J11" s="8">
        <v>205.0</v>
      </c>
      <c r="K11" s="8">
        <v>3010.0</v>
      </c>
      <c r="L11" s="8">
        <v>50.0</v>
      </c>
      <c r="M11" s="8">
        <v>315.0</v>
      </c>
      <c r="N11" s="8">
        <v>425.0</v>
      </c>
      <c r="O11" s="8">
        <v>205.0</v>
      </c>
      <c r="P11" s="8">
        <v>375.0</v>
      </c>
      <c r="Q11" s="8">
        <v>2520.0</v>
      </c>
    </row>
    <row r="12" ht="15.75" customHeight="1">
      <c r="A12" s="6" t="s">
        <v>20</v>
      </c>
      <c r="B12" s="7" t="s">
        <v>21</v>
      </c>
      <c r="C12" s="8">
        <v>0.0</v>
      </c>
      <c r="D12" s="8">
        <v>205.0</v>
      </c>
      <c r="E12" s="8">
        <v>0.0</v>
      </c>
      <c r="F12" s="8">
        <v>50.0</v>
      </c>
      <c r="G12" s="8">
        <v>155.0</v>
      </c>
      <c r="H12" s="8">
        <v>100.0</v>
      </c>
      <c r="I12" s="8">
        <v>0.0</v>
      </c>
      <c r="J12" s="8">
        <v>50.0</v>
      </c>
      <c r="K12" s="8">
        <v>205.0</v>
      </c>
      <c r="L12" s="8">
        <v>0.0</v>
      </c>
      <c r="M12" s="8">
        <v>0.0</v>
      </c>
      <c r="N12" s="8">
        <v>155.0</v>
      </c>
      <c r="O12" s="8">
        <v>260.0</v>
      </c>
      <c r="P12" s="8">
        <v>50.0</v>
      </c>
      <c r="Q12" s="8">
        <v>480.0</v>
      </c>
    </row>
    <row r="13" ht="15.75" customHeight="1">
      <c r="A13" s="6" t="s">
        <v>72</v>
      </c>
      <c r="B13" s="7" t="s">
        <v>90</v>
      </c>
      <c r="C13" s="8">
        <v>50.0</v>
      </c>
      <c r="D13" s="8">
        <v>100.0</v>
      </c>
      <c r="E13" s="8">
        <v>305.0</v>
      </c>
      <c r="F13" s="8">
        <v>155.0</v>
      </c>
      <c r="G13" s="6"/>
      <c r="H13" s="6"/>
      <c r="I13" s="8">
        <v>2520.0</v>
      </c>
      <c r="J13" s="6"/>
      <c r="K13" s="8">
        <v>7500.0</v>
      </c>
      <c r="L13" s="8">
        <v>660.0</v>
      </c>
      <c r="M13" s="8">
        <v>260.0</v>
      </c>
      <c r="N13" s="8">
        <v>790.0</v>
      </c>
      <c r="O13" s="8">
        <v>50.0</v>
      </c>
      <c r="P13" s="6"/>
      <c r="Q13" s="6"/>
    </row>
    <row r="14" ht="15.75" customHeight="1">
      <c r="A14" s="6" t="s">
        <v>22</v>
      </c>
      <c r="B14" s="7" t="s">
        <v>23</v>
      </c>
      <c r="C14" s="6"/>
      <c r="D14" s="8">
        <v>260.0</v>
      </c>
      <c r="E14" s="8">
        <v>0.0</v>
      </c>
      <c r="F14" s="6"/>
      <c r="G14" s="6"/>
      <c r="H14" s="8">
        <v>100.0</v>
      </c>
      <c r="I14" s="8">
        <v>155.0</v>
      </c>
      <c r="J14" s="8">
        <v>0.0</v>
      </c>
      <c r="K14" s="8">
        <v>985.0</v>
      </c>
      <c r="L14" s="8">
        <v>50.0</v>
      </c>
      <c r="M14" s="8">
        <v>100.0</v>
      </c>
      <c r="N14" s="8">
        <v>155.0</v>
      </c>
      <c r="O14" s="8">
        <v>205.0</v>
      </c>
      <c r="P14" s="6"/>
      <c r="Q14" s="6"/>
    </row>
    <row r="15" ht="15.75" customHeight="1">
      <c r="A15" s="6" t="s">
        <v>24</v>
      </c>
      <c r="B15" s="7" t="s">
        <v>25</v>
      </c>
      <c r="C15" s="8">
        <v>50.0</v>
      </c>
      <c r="D15" s="8">
        <v>155.0</v>
      </c>
      <c r="E15" s="8">
        <v>100.0</v>
      </c>
      <c r="F15" s="8">
        <v>150.0</v>
      </c>
      <c r="G15" s="8">
        <v>2070.0</v>
      </c>
      <c r="H15" s="8">
        <v>100.0</v>
      </c>
      <c r="I15" s="8">
        <v>100.0</v>
      </c>
      <c r="J15" s="8">
        <v>50.0</v>
      </c>
      <c r="K15" s="8">
        <v>1055.0</v>
      </c>
      <c r="L15" s="6"/>
      <c r="M15" s="8">
        <v>50.0</v>
      </c>
      <c r="N15" s="8">
        <v>50.0</v>
      </c>
      <c r="O15" s="8">
        <v>205.0</v>
      </c>
      <c r="P15" s="8">
        <v>155.0</v>
      </c>
      <c r="Q15" s="8">
        <v>1920.0</v>
      </c>
    </row>
    <row r="16" ht="15.75" customHeight="1">
      <c r="A16" s="6" t="s">
        <v>26</v>
      </c>
      <c r="B16" s="7" t="s">
        <v>27</v>
      </c>
      <c r="C16" s="8">
        <v>150.0</v>
      </c>
      <c r="D16" s="8">
        <v>205.0</v>
      </c>
      <c r="E16" s="8">
        <v>50.0</v>
      </c>
      <c r="F16" s="6"/>
      <c r="G16" s="8">
        <v>3370.0</v>
      </c>
      <c r="H16" s="8">
        <v>490.0</v>
      </c>
      <c r="I16" s="8">
        <v>370.0</v>
      </c>
      <c r="J16" s="8">
        <v>260.0</v>
      </c>
      <c r="K16" s="8">
        <v>6405.0</v>
      </c>
      <c r="L16" s="8">
        <v>315.0</v>
      </c>
      <c r="M16" s="8">
        <v>375.0</v>
      </c>
      <c r="N16" s="8">
        <v>375.0</v>
      </c>
      <c r="O16" s="8">
        <v>370.0</v>
      </c>
      <c r="P16" s="8">
        <v>100.0</v>
      </c>
      <c r="Q16" s="8">
        <v>3770.0</v>
      </c>
    </row>
    <row r="17" ht="15.75" customHeight="1">
      <c r="A17" s="6" t="s">
        <v>30</v>
      </c>
      <c r="B17" s="7" t="s">
        <v>31</v>
      </c>
      <c r="C17" s="8">
        <v>50.0</v>
      </c>
      <c r="D17" s="8">
        <v>315.0</v>
      </c>
      <c r="E17" s="6"/>
      <c r="F17" s="8">
        <v>50.0</v>
      </c>
      <c r="G17" s="8">
        <v>2990.0</v>
      </c>
      <c r="H17" s="8">
        <v>155.0</v>
      </c>
      <c r="I17" s="8">
        <v>375.0</v>
      </c>
      <c r="J17" s="8">
        <v>100.0</v>
      </c>
      <c r="K17" s="8">
        <v>1205.0</v>
      </c>
      <c r="L17" s="6"/>
      <c r="M17" s="8">
        <v>155.0</v>
      </c>
      <c r="N17" s="8">
        <v>0.0</v>
      </c>
      <c r="O17" s="8">
        <v>315.0</v>
      </c>
      <c r="P17" s="8">
        <v>0.0</v>
      </c>
      <c r="Q17" s="8">
        <v>1775.0</v>
      </c>
    </row>
    <row r="18" ht="15.75" customHeight="1">
      <c r="A18" s="6" t="s">
        <v>76</v>
      </c>
      <c r="B18" s="12" t="s">
        <v>77</v>
      </c>
      <c r="C18" s="8">
        <v>0.0</v>
      </c>
      <c r="D18" s="8">
        <v>100.0</v>
      </c>
      <c r="E18" s="8">
        <v>50.0</v>
      </c>
      <c r="F18" s="8">
        <v>100.0</v>
      </c>
      <c r="G18" s="8">
        <v>205.0</v>
      </c>
      <c r="H18" s="8">
        <v>50.0</v>
      </c>
      <c r="I18" s="8">
        <v>0.0</v>
      </c>
      <c r="J18" s="8">
        <v>0.0</v>
      </c>
      <c r="K18" s="8">
        <v>50.0</v>
      </c>
      <c r="L18" s="8">
        <v>0.0</v>
      </c>
      <c r="M18" s="6"/>
      <c r="N18" s="8">
        <v>315.0</v>
      </c>
      <c r="O18" s="8">
        <v>605.0</v>
      </c>
      <c r="P18" s="8">
        <v>50.0</v>
      </c>
      <c r="Q18" s="8">
        <v>475.0</v>
      </c>
    </row>
    <row r="19" ht="15.75" customHeight="1">
      <c r="A19" s="6" t="s">
        <v>32</v>
      </c>
      <c r="B19" s="7" t="s">
        <v>33</v>
      </c>
      <c r="C19" s="8">
        <v>360.0</v>
      </c>
      <c r="D19" s="8">
        <v>490.0</v>
      </c>
      <c r="E19" s="8">
        <v>150.0</v>
      </c>
      <c r="F19" s="8">
        <v>205.0</v>
      </c>
      <c r="G19" s="8">
        <v>8925.0</v>
      </c>
      <c r="H19" s="8">
        <v>205.0</v>
      </c>
      <c r="I19" s="8">
        <v>1295.0</v>
      </c>
      <c r="J19" s="8">
        <v>205.0</v>
      </c>
      <c r="K19" s="8">
        <v>6870.0</v>
      </c>
      <c r="L19" s="8">
        <v>205.0</v>
      </c>
      <c r="M19" s="8">
        <v>840.0</v>
      </c>
      <c r="N19" s="8">
        <v>155.0</v>
      </c>
      <c r="O19" s="8">
        <v>315.0</v>
      </c>
      <c r="P19" s="8">
        <v>155.0</v>
      </c>
      <c r="Q19" s="8">
        <v>3350.0</v>
      </c>
    </row>
    <row r="20" ht="15.75" customHeight="1">
      <c r="A20" s="6" t="s">
        <v>34</v>
      </c>
      <c r="B20" s="7" t="s">
        <v>35</v>
      </c>
      <c r="C20" s="8">
        <v>365.0</v>
      </c>
      <c r="D20" s="8">
        <v>540.0</v>
      </c>
      <c r="E20" s="6"/>
      <c r="F20" s="6"/>
      <c r="G20" s="8">
        <v>8945.0</v>
      </c>
      <c r="H20" s="8">
        <v>315.0</v>
      </c>
      <c r="I20" s="8">
        <v>205.0</v>
      </c>
      <c r="J20" s="8">
        <v>370.0</v>
      </c>
      <c r="K20" s="8">
        <v>1215.0</v>
      </c>
      <c r="L20" s="6"/>
      <c r="M20" s="8">
        <v>485.0</v>
      </c>
      <c r="N20" s="8">
        <v>315.0</v>
      </c>
      <c r="O20" s="8">
        <v>540.0</v>
      </c>
      <c r="P20" s="8">
        <v>50.0</v>
      </c>
      <c r="Q20" s="8">
        <v>1635.0</v>
      </c>
    </row>
    <row r="21" ht="15.75" customHeight="1">
      <c r="A21" s="6" t="s">
        <v>83</v>
      </c>
      <c r="B21" s="24" t="s">
        <v>84</v>
      </c>
      <c r="C21" s="8">
        <v>100.0</v>
      </c>
      <c r="D21" s="6"/>
      <c r="E21" s="8">
        <v>315.0</v>
      </c>
      <c r="F21" s="8">
        <v>205.0</v>
      </c>
      <c r="G21" s="8">
        <v>4115.0</v>
      </c>
      <c r="H21" s="8">
        <v>485.0</v>
      </c>
      <c r="I21" s="8">
        <v>5765.0</v>
      </c>
      <c r="J21" s="8">
        <v>315.0</v>
      </c>
      <c r="K21" s="8">
        <v>1920.0</v>
      </c>
      <c r="L21" s="6"/>
      <c r="M21" s="8">
        <v>375.0</v>
      </c>
      <c r="N21" s="8">
        <v>675.0</v>
      </c>
      <c r="O21" s="8">
        <v>985.0</v>
      </c>
      <c r="P21" s="8">
        <v>315.0</v>
      </c>
      <c r="Q21" s="8">
        <v>5250.0</v>
      </c>
    </row>
    <row r="22" ht="15.75" customHeight="1">
      <c r="A22" s="13" t="s">
        <v>40</v>
      </c>
      <c r="B22" s="7" t="s">
        <v>41</v>
      </c>
      <c r="C22" s="8">
        <v>205.0</v>
      </c>
      <c r="D22" s="6"/>
      <c r="E22" s="8">
        <v>260.0</v>
      </c>
      <c r="F22" s="6"/>
      <c r="G22" s="8">
        <v>1920.0</v>
      </c>
      <c r="H22" s="8">
        <v>600.0</v>
      </c>
      <c r="I22" s="8">
        <v>3455.0</v>
      </c>
      <c r="J22" s="8">
        <v>475.0</v>
      </c>
      <c r="K22" s="8">
        <v>1475.0</v>
      </c>
      <c r="L22" s="6"/>
      <c r="M22" s="8">
        <v>260.0</v>
      </c>
      <c r="N22" s="8">
        <v>485.0</v>
      </c>
      <c r="O22" s="8">
        <v>675.0</v>
      </c>
      <c r="P22" s="8">
        <v>260.0</v>
      </c>
      <c r="Q22" s="8">
        <v>7195.0</v>
      </c>
    </row>
    <row r="23" ht="15.75" customHeight="1">
      <c r="A23" s="6" t="s">
        <v>91</v>
      </c>
      <c r="B23" s="7" t="s">
        <v>92</v>
      </c>
      <c r="C23" s="8">
        <v>0.0</v>
      </c>
      <c r="D23" s="8">
        <v>50.0</v>
      </c>
      <c r="E23" s="8">
        <v>100.0</v>
      </c>
      <c r="F23" s="8">
        <v>150.0</v>
      </c>
      <c r="G23" s="8">
        <v>660.0</v>
      </c>
      <c r="H23" s="8">
        <v>155.0</v>
      </c>
      <c r="I23" s="8">
        <v>205.0</v>
      </c>
      <c r="J23" s="8">
        <v>50.0</v>
      </c>
      <c r="K23" s="8">
        <v>605.0</v>
      </c>
      <c r="L23" s="8">
        <v>15380.0</v>
      </c>
      <c r="M23" s="8">
        <v>50.0</v>
      </c>
      <c r="N23" s="8">
        <v>50.0</v>
      </c>
      <c r="O23" s="8">
        <v>205.0</v>
      </c>
      <c r="P23" s="8">
        <v>205.0</v>
      </c>
      <c r="Q23" s="8">
        <v>205.0</v>
      </c>
    </row>
    <row r="24" ht="15.75" customHeight="1">
      <c r="A24" s="6" t="s">
        <v>45</v>
      </c>
      <c r="B24" s="7" t="s">
        <v>46</v>
      </c>
      <c r="C24" s="8">
        <v>205.0</v>
      </c>
      <c r="D24" s="8">
        <v>780.0</v>
      </c>
      <c r="E24" s="8">
        <v>250.0</v>
      </c>
      <c r="F24" s="8">
        <v>430.0</v>
      </c>
      <c r="G24" s="8">
        <v>13065.0</v>
      </c>
      <c r="H24" s="8">
        <v>50.0</v>
      </c>
      <c r="I24" s="8">
        <v>720.0</v>
      </c>
      <c r="J24" s="8">
        <v>430.0</v>
      </c>
      <c r="K24" s="8">
        <v>1545.0</v>
      </c>
      <c r="L24" s="8">
        <v>260.0</v>
      </c>
      <c r="M24" s="8">
        <v>2175.0</v>
      </c>
      <c r="N24" s="6"/>
      <c r="O24" s="8">
        <v>375.0</v>
      </c>
      <c r="P24" s="6"/>
      <c r="Q24" s="8">
        <v>0.0</v>
      </c>
    </row>
    <row r="25" ht="15.75" customHeight="1">
      <c r="A25" s="6" t="s">
        <v>47</v>
      </c>
      <c r="B25" s="13" t="s">
        <v>48</v>
      </c>
      <c r="C25" s="8">
        <v>315.0</v>
      </c>
      <c r="D25" s="8">
        <v>205.0</v>
      </c>
      <c r="E25" s="6"/>
      <c r="F25" s="8">
        <v>545.0</v>
      </c>
      <c r="G25" s="8">
        <v>10490.0</v>
      </c>
      <c r="H25" s="8">
        <v>260.0</v>
      </c>
      <c r="I25" s="8">
        <v>2560.0</v>
      </c>
      <c r="J25" s="8">
        <v>365.0</v>
      </c>
      <c r="K25" s="8">
        <v>4065.0</v>
      </c>
      <c r="L25" s="8">
        <v>260.0</v>
      </c>
      <c r="M25" s="8">
        <v>605.0</v>
      </c>
      <c r="N25" s="8">
        <v>370.0</v>
      </c>
      <c r="O25" s="8">
        <v>260.0</v>
      </c>
      <c r="P25" s="8">
        <v>315.0</v>
      </c>
      <c r="Q25" s="8">
        <v>1360.0</v>
      </c>
    </row>
    <row r="26" ht="15.75" customHeight="1">
      <c r="A26" s="6" t="s">
        <v>49</v>
      </c>
      <c r="B26" s="7" t="s">
        <v>50</v>
      </c>
      <c r="C26" s="8">
        <v>1005.0</v>
      </c>
      <c r="D26" s="8">
        <v>315.0</v>
      </c>
      <c r="E26" s="8">
        <v>0.0</v>
      </c>
      <c r="F26" s="8">
        <v>485.0</v>
      </c>
      <c r="G26" s="8">
        <v>3250.0</v>
      </c>
      <c r="H26" s="8">
        <v>430.0</v>
      </c>
      <c r="I26" s="8">
        <v>875.0</v>
      </c>
      <c r="J26" s="8">
        <v>155.0</v>
      </c>
      <c r="K26" s="8">
        <v>13015.0</v>
      </c>
      <c r="L26" s="8">
        <v>430.0</v>
      </c>
      <c r="M26" s="8">
        <v>205.0</v>
      </c>
      <c r="N26" s="8">
        <v>430.0</v>
      </c>
      <c r="O26" s="8">
        <v>315.0</v>
      </c>
      <c r="P26" s="8">
        <v>315.0</v>
      </c>
      <c r="Q26" s="8">
        <v>1190.0</v>
      </c>
    </row>
    <row r="27" ht="15.75" customHeight="1">
      <c r="A27" s="6" t="s">
        <v>51</v>
      </c>
      <c r="B27" s="12" t="s">
        <v>52</v>
      </c>
      <c r="C27" s="8">
        <v>0.0</v>
      </c>
      <c r="D27" s="8">
        <v>155.0</v>
      </c>
      <c r="E27" s="8">
        <v>50.0</v>
      </c>
      <c r="F27" s="8">
        <v>50.0</v>
      </c>
      <c r="G27" s="8">
        <v>0.0</v>
      </c>
      <c r="H27" s="8">
        <v>0.0</v>
      </c>
      <c r="I27" s="8">
        <v>100.0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50.0</v>
      </c>
      <c r="Q27" s="8">
        <v>100.0</v>
      </c>
    </row>
    <row r="28" ht="15.75" customHeight="1">
      <c r="A28" s="6" t="s">
        <v>85</v>
      </c>
      <c r="B28" s="23" t="s">
        <v>86</v>
      </c>
      <c r="C28" s="6"/>
      <c r="D28" s="8">
        <v>260.0</v>
      </c>
      <c r="E28" s="8">
        <v>485.0</v>
      </c>
      <c r="F28" s="8">
        <v>485.0</v>
      </c>
      <c r="G28" s="8">
        <v>1920.0</v>
      </c>
      <c r="H28" s="8">
        <v>3315.0</v>
      </c>
      <c r="I28" s="8">
        <v>315.0</v>
      </c>
      <c r="J28" s="8">
        <v>50.0</v>
      </c>
      <c r="K28" s="8">
        <v>790.0</v>
      </c>
      <c r="L28" s="8">
        <v>540.0</v>
      </c>
      <c r="M28" s="8">
        <v>315.0</v>
      </c>
      <c r="N28" s="8">
        <v>1895.0</v>
      </c>
      <c r="O28" s="8">
        <v>315.0</v>
      </c>
      <c r="P28" s="8">
        <v>490.0</v>
      </c>
      <c r="Q28" s="8">
        <v>1395.0</v>
      </c>
    </row>
    <row r="29" ht="15.75" customHeight="1">
      <c r="A29" s="6" t="s">
        <v>53</v>
      </c>
      <c r="B29" s="12" t="s">
        <v>54</v>
      </c>
      <c r="C29" s="8">
        <v>50.0</v>
      </c>
      <c r="D29" s="8">
        <v>100.0</v>
      </c>
      <c r="E29" s="8">
        <v>100.0</v>
      </c>
      <c r="F29" s="8">
        <v>100.0</v>
      </c>
      <c r="G29" s="8">
        <v>0.0</v>
      </c>
      <c r="H29" s="8">
        <v>100.0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</row>
    <row r="30" ht="15.75" customHeight="1">
      <c r="A30" s="6" t="s">
        <v>55</v>
      </c>
      <c r="B30" s="24" t="s">
        <v>93</v>
      </c>
      <c r="C30" s="8">
        <v>155.0</v>
      </c>
      <c r="D30" s="8">
        <v>205.0</v>
      </c>
      <c r="E30" s="8">
        <v>100.0</v>
      </c>
      <c r="F30" s="8">
        <v>50.0</v>
      </c>
      <c r="G30" s="8">
        <v>485.0</v>
      </c>
      <c r="H30" s="8">
        <v>0.0</v>
      </c>
      <c r="I30" s="8">
        <v>205.0</v>
      </c>
      <c r="J30" s="8">
        <v>0.0</v>
      </c>
      <c r="K30" s="8">
        <v>155.0</v>
      </c>
      <c r="L30" s="8">
        <v>425.0</v>
      </c>
      <c r="M30" s="8">
        <v>375.0</v>
      </c>
      <c r="N30" s="8">
        <v>205.0</v>
      </c>
      <c r="O30" s="8">
        <v>315.0</v>
      </c>
      <c r="P30" s="8">
        <v>155.0</v>
      </c>
      <c r="Q30" s="8">
        <v>4430.0</v>
      </c>
    </row>
    <row r="31" ht="15.75" customHeight="1">
      <c r="A31" s="6" t="s">
        <v>78</v>
      </c>
      <c r="B31" s="24" t="s">
        <v>94</v>
      </c>
      <c r="C31" s="8">
        <v>50.0</v>
      </c>
      <c r="D31" s="8">
        <v>315.0</v>
      </c>
      <c r="E31" s="8">
        <v>100.0</v>
      </c>
      <c r="F31" s="8">
        <v>100.0</v>
      </c>
      <c r="G31" s="8">
        <v>3385.0</v>
      </c>
      <c r="H31" s="8">
        <v>205.0</v>
      </c>
      <c r="I31" s="8">
        <v>205.0</v>
      </c>
      <c r="J31" s="8">
        <v>0.0</v>
      </c>
      <c r="K31" s="8">
        <v>0.0</v>
      </c>
      <c r="L31" s="8">
        <v>0.0</v>
      </c>
      <c r="M31" s="8">
        <v>150.0</v>
      </c>
      <c r="N31" s="8">
        <v>50.0</v>
      </c>
      <c r="O31" s="8">
        <v>100.0</v>
      </c>
      <c r="P31" s="8">
        <v>0.0</v>
      </c>
      <c r="Q31" s="8">
        <v>1590.0</v>
      </c>
    </row>
    <row r="32" ht="15.75" customHeight="1">
      <c r="A32" s="6" t="s">
        <v>57</v>
      </c>
      <c r="B32" s="6" t="s">
        <v>58</v>
      </c>
      <c r="C32" s="8">
        <v>50.0</v>
      </c>
      <c r="D32" s="8">
        <v>370.0</v>
      </c>
      <c r="E32" s="8">
        <v>430.0</v>
      </c>
      <c r="F32" s="8">
        <v>610.0</v>
      </c>
      <c r="G32" s="8">
        <v>2310.0</v>
      </c>
      <c r="H32" s="8">
        <v>315.0</v>
      </c>
      <c r="I32" s="8">
        <v>1545.0</v>
      </c>
      <c r="J32" s="8">
        <v>0.0</v>
      </c>
      <c r="K32" s="8">
        <v>0.0</v>
      </c>
      <c r="L32" s="8">
        <v>100.0</v>
      </c>
      <c r="M32" s="8">
        <v>0.0</v>
      </c>
      <c r="N32" s="8">
        <v>205.0</v>
      </c>
      <c r="O32" s="8">
        <v>205.0</v>
      </c>
      <c r="P32" s="8">
        <v>100.0</v>
      </c>
      <c r="Q32" s="8">
        <v>365.0</v>
      </c>
    </row>
    <row r="33" ht="15.75" customHeight="1">
      <c r="A33" s="6" t="s">
        <v>61</v>
      </c>
      <c r="B33" s="12" t="s">
        <v>62</v>
      </c>
      <c r="C33" s="6"/>
      <c r="D33" s="6"/>
      <c r="E33" s="6"/>
      <c r="F33" s="6"/>
      <c r="G33" s="8">
        <v>1460.0</v>
      </c>
      <c r="H33" s="6"/>
      <c r="I33" s="8">
        <v>490.0</v>
      </c>
      <c r="J33" s="8">
        <v>315.0</v>
      </c>
      <c r="K33" s="6"/>
      <c r="L33" s="6"/>
      <c r="M33" s="8">
        <v>205.0</v>
      </c>
      <c r="N33" s="6"/>
      <c r="O33" s="8">
        <v>600.0</v>
      </c>
      <c r="P33" s="8">
        <v>550.0</v>
      </c>
      <c r="Q33" s="6"/>
    </row>
    <row r="34" ht="15.75" customHeight="1">
      <c r="A34" s="6" t="s">
        <v>63</v>
      </c>
      <c r="B34" s="7" t="s">
        <v>64</v>
      </c>
      <c r="C34" s="8">
        <v>675.0</v>
      </c>
      <c r="D34" s="8">
        <v>100.0</v>
      </c>
      <c r="E34" s="8">
        <v>0.0</v>
      </c>
      <c r="F34" s="8">
        <v>740.0</v>
      </c>
      <c r="G34" s="8">
        <v>3530.0</v>
      </c>
      <c r="H34" s="8">
        <v>2435.0</v>
      </c>
      <c r="I34" s="8">
        <v>375.0</v>
      </c>
      <c r="J34" s="8">
        <v>255.0</v>
      </c>
      <c r="K34" s="8">
        <v>1205.0</v>
      </c>
      <c r="L34" s="6"/>
      <c r="M34" s="8">
        <v>875.0</v>
      </c>
      <c r="N34" s="8">
        <v>1865.0</v>
      </c>
      <c r="O34" s="8">
        <v>985.0</v>
      </c>
      <c r="P34" s="8">
        <v>430.0</v>
      </c>
      <c r="Q34" s="8">
        <v>1230.0</v>
      </c>
    </row>
    <row r="35" ht="15.75" customHeight="1">
      <c r="A35" s="6" t="s">
        <v>65</v>
      </c>
      <c r="B35" s="7" t="s">
        <v>66</v>
      </c>
      <c r="C35" s="6" t="s">
        <v>95</v>
      </c>
      <c r="D35" s="8">
        <v>260.0</v>
      </c>
      <c r="E35" s="8">
        <v>150.0</v>
      </c>
      <c r="F35" s="8">
        <v>260.0</v>
      </c>
      <c r="G35" s="8">
        <v>50.0</v>
      </c>
      <c r="H35" s="8">
        <v>1140.0</v>
      </c>
      <c r="I35" s="8">
        <v>2130.0</v>
      </c>
      <c r="J35" s="8">
        <v>50.0</v>
      </c>
      <c r="K35" s="8">
        <v>0.0</v>
      </c>
      <c r="L35" s="8">
        <v>0.0</v>
      </c>
      <c r="M35" s="8">
        <v>50.0</v>
      </c>
      <c r="N35" s="8">
        <v>50.0</v>
      </c>
      <c r="O35" s="8">
        <v>315.0</v>
      </c>
      <c r="P35" s="8">
        <v>1295.0</v>
      </c>
      <c r="Q35" s="8">
        <v>155.0</v>
      </c>
    </row>
    <row r="36" ht="15.75" customHeight="1">
      <c r="A36" s="6" t="s">
        <v>67</v>
      </c>
      <c r="B36" s="7" t="s">
        <v>68</v>
      </c>
      <c r="C36" s="8">
        <v>100.0</v>
      </c>
      <c r="D36" s="8">
        <v>100.0</v>
      </c>
      <c r="E36" s="8">
        <v>205.0</v>
      </c>
      <c r="F36" s="8">
        <v>750.0</v>
      </c>
      <c r="G36" s="8">
        <v>13065.0</v>
      </c>
      <c r="H36" s="6"/>
      <c r="I36" s="6"/>
      <c r="J36" s="8">
        <v>675.0</v>
      </c>
      <c r="K36" s="8">
        <v>315.0</v>
      </c>
      <c r="L36" s="8">
        <v>205.0</v>
      </c>
      <c r="M36" s="8">
        <v>155.0</v>
      </c>
      <c r="N36" s="8">
        <v>260.0</v>
      </c>
      <c r="O36" s="8">
        <v>205.0</v>
      </c>
      <c r="P36" s="8">
        <v>260.0</v>
      </c>
      <c r="Q36" s="8">
        <v>1460.0</v>
      </c>
    </row>
    <row r="37" ht="15.75" customHeight="1">
      <c r="A37" s="6" t="s">
        <v>69</v>
      </c>
      <c r="B37" s="7" t="s">
        <v>70</v>
      </c>
      <c r="C37" s="8">
        <v>430.0</v>
      </c>
      <c r="D37" s="8">
        <v>2175.0</v>
      </c>
      <c r="E37" s="8">
        <v>425.0</v>
      </c>
      <c r="F37" s="8">
        <v>205.0</v>
      </c>
      <c r="G37" s="8">
        <v>3315.0</v>
      </c>
      <c r="H37" s="8">
        <v>100.0</v>
      </c>
      <c r="I37" s="8">
        <v>655.0</v>
      </c>
      <c r="J37" s="8">
        <v>675.0</v>
      </c>
      <c r="K37" s="8">
        <v>205.0</v>
      </c>
      <c r="L37" s="8">
        <v>1005.0</v>
      </c>
      <c r="M37" s="8">
        <v>725.0</v>
      </c>
      <c r="N37" s="8">
        <v>260.0</v>
      </c>
      <c r="O37" s="8">
        <v>995.0</v>
      </c>
      <c r="P37" s="8">
        <v>260.0</v>
      </c>
      <c r="Q37" s="8">
        <v>1615.0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34.38"/>
  </cols>
  <sheetData>
    <row r="1" ht="15.75" customHeight="1">
      <c r="A1" s="26" t="s">
        <v>0</v>
      </c>
      <c r="B1" s="26" t="s">
        <v>1</v>
      </c>
      <c r="C1" s="27">
        <v>45434.0</v>
      </c>
      <c r="D1" s="29">
        <v>45441.0</v>
      </c>
      <c r="E1" s="29">
        <v>45448.0</v>
      </c>
      <c r="F1" s="29">
        <v>45455.0</v>
      </c>
      <c r="G1" s="29">
        <v>45462.0</v>
      </c>
      <c r="H1" s="27">
        <v>45469.0</v>
      </c>
      <c r="I1" s="27">
        <v>45476.0</v>
      </c>
      <c r="J1" s="27">
        <v>45483.0</v>
      </c>
      <c r="K1" s="27">
        <v>45490.0</v>
      </c>
      <c r="L1" s="27">
        <v>45497.0</v>
      </c>
      <c r="M1" s="27">
        <v>45504.0</v>
      </c>
      <c r="N1" s="27">
        <v>45511.0</v>
      </c>
      <c r="O1" s="27">
        <v>45518.0</v>
      </c>
      <c r="P1" s="27">
        <v>45525.0</v>
      </c>
      <c r="Q1" s="27">
        <v>45532.0</v>
      </c>
    </row>
    <row r="2" ht="15.75" customHeight="1">
      <c r="A2" s="6" t="s">
        <v>2</v>
      </c>
      <c r="B2" s="7" t="s">
        <v>3</v>
      </c>
      <c r="C2" s="10">
        <v>38.4</v>
      </c>
      <c r="D2" s="10">
        <v>93.4</v>
      </c>
      <c r="E2" s="8">
        <v>36.8</v>
      </c>
      <c r="F2" s="8">
        <v>21.1</v>
      </c>
      <c r="G2" s="8">
        <v>95.9</v>
      </c>
      <c r="H2" s="8">
        <v>14.5</v>
      </c>
      <c r="I2" s="8">
        <v>248.9</v>
      </c>
      <c r="J2" s="8">
        <v>410.6</v>
      </c>
      <c r="K2" s="8">
        <v>25.3</v>
      </c>
      <c r="L2" s="8">
        <v>156.5</v>
      </c>
      <c r="M2" s="8">
        <v>185.0</v>
      </c>
      <c r="N2" s="8">
        <v>16.0</v>
      </c>
      <c r="O2" s="8">
        <v>10.9</v>
      </c>
      <c r="P2" s="8">
        <v>137.4</v>
      </c>
      <c r="Q2" s="8">
        <v>62.0</v>
      </c>
    </row>
    <row r="3" ht="15.75" customHeight="1">
      <c r="A3" s="6" t="s">
        <v>80</v>
      </c>
      <c r="B3" s="23" t="s">
        <v>81</v>
      </c>
      <c r="C3" s="11"/>
      <c r="D3" s="10">
        <v>235.9</v>
      </c>
      <c r="E3" s="6"/>
      <c r="F3" s="8">
        <v>613.1</v>
      </c>
      <c r="G3" s="8">
        <v>344.8</v>
      </c>
      <c r="H3" s="8">
        <v>517.2</v>
      </c>
      <c r="I3" s="8">
        <v>613.1</v>
      </c>
      <c r="J3" s="8">
        <v>1413.6</v>
      </c>
      <c r="K3" s="8">
        <v>980.4</v>
      </c>
      <c r="L3" s="8">
        <v>248.1</v>
      </c>
      <c r="M3" s="8">
        <v>2419.6</v>
      </c>
      <c r="N3" s="6"/>
      <c r="O3" s="8">
        <v>103.9</v>
      </c>
      <c r="P3" s="8">
        <v>167.0</v>
      </c>
      <c r="Q3" s="8">
        <v>93.2</v>
      </c>
    </row>
    <row r="4" ht="15.75" customHeight="1">
      <c r="A4" s="6" t="s">
        <v>82</v>
      </c>
      <c r="B4" s="7" t="s">
        <v>5</v>
      </c>
      <c r="C4" s="10">
        <v>238.2</v>
      </c>
      <c r="D4" s="10">
        <v>410.6</v>
      </c>
      <c r="E4" s="8">
        <v>920.8</v>
      </c>
      <c r="F4" s="8">
        <v>547.5</v>
      </c>
      <c r="G4" s="8">
        <v>186.0</v>
      </c>
      <c r="H4" s="8">
        <v>238.2</v>
      </c>
      <c r="I4" s="8">
        <v>488.4</v>
      </c>
      <c r="J4" s="8">
        <v>387.3</v>
      </c>
      <c r="K4" s="8">
        <v>1732.9</v>
      </c>
      <c r="L4" s="8">
        <v>1046.2</v>
      </c>
      <c r="M4" s="8">
        <v>2419.6</v>
      </c>
      <c r="N4" s="8">
        <v>387.3</v>
      </c>
      <c r="O4" s="8">
        <v>547.5</v>
      </c>
      <c r="P4" s="8">
        <v>307.6</v>
      </c>
      <c r="Q4" s="8">
        <v>204.6</v>
      </c>
    </row>
    <row r="5" ht="15.75" customHeight="1">
      <c r="A5" s="6" t="s">
        <v>8</v>
      </c>
      <c r="B5" s="7" t="s">
        <v>9</v>
      </c>
      <c r="C5" s="11"/>
      <c r="D5" s="10">
        <v>143.9</v>
      </c>
      <c r="E5" s="8">
        <v>231.0</v>
      </c>
      <c r="F5" s="8">
        <v>68.3</v>
      </c>
      <c r="G5" s="8">
        <f>5.2*50</f>
        <v>260</v>
      </c>
      <c r="H5" s="8">
        <v>37.3</v>
      </c>
      <c r="I5" s="6"/>
      <c r="J5" s="8">
        <v>124.6</v>
      </c>
      <c r="K5" s="8">
        <v>1413.6</v>
      </c>
      <c r="L5" s="8">
        <v>980.4</v>
      </c>
      <c r="M5" s="8">
        <v>2419.6</v>
      </c>
      <c r="N5" s="6"/>
      <c r="O5" s="8">
        <v>88.0</v>
      </c>
      <c r="P5" s="8">
        <v>48.8</v>
      </c>
      <c r="Q5" s="6"/>
    </row>
    <row r="6" ht="15.75" customHeight="1">
      <c r="A6" s="6" t="s">
        <v>10</v>
      </c>
      <c r="B6" s="7" t="s">
        <v>11</v>
      </c>
      <c r="C6" s="11"/>
      <c r="D6" s="10">
        <v>39.5</v>
      </c>
      <c r="E6" s="8">
        <v>547.5</v>
      </c>
      <c r="F6" s="8">
        <v>30.9</v>
      </c>
      <c r="G6" s="8">
        <v>67.6</v>
      </c>
      <c r="H6" s="8">
        <v>85.7</v>
      </c>
      <c r="I6" s="6"/>
      <c r="J6" s="8">
        <v>107.6</v>
      </c>
      <c r="K6" s="8">
        <v>87.8</v>
      </c>
      <c r="L6" s="8">
        <v>686.7</v>
      </c>
      <c r="M6" s="8">
        <v>98.5</v>
      </c>
      <c r="N6" s="8">
        <v>21.4</v>
      </c>
      <c r="O6" s="8">
        <v>70.3</v>
      </c>
      <c r="P6" s="8">
        <v>23.3</v>
      </c>
      <c r="Q6" s="6"/>
    </row>
    <row r="7" ht="15.75" customHeight="1">
      <c r="A7" s="6" t="s">
        <v>14</v>
      </c>
      <c r="B7" s="7" t="s">
        <v>15</v>
      </c>
      <c r="C7" s="10">
        <v>193.5</v>
      </c>
      <c r="D7" s="10">
        <v>410.6</v>
      </c>
      <c r="E7" s="8">
        <v>488.4</v>
      </c>
      <c r="F7" s="8">
        <v>275.5</v>
      </c>
      <c r="G7" s="8">
        <v>686.7</v>
      </c>
      <c r="H7" s="8">
        <v>1732.9</v>
      </c>
      <c r="I7" s="8">
        <v>261.3</v>
      </c>
      <c r="J7" s="8">
        <v>613.1</v>
      </c>
      <c r="K7" s="8">
        <v>1203.3</v>
      </c>
      <c r="L7" s="8">
        <v>2419.6</v>
      </c>
      <c r="M7" s="8">
        <v>547.5</v>
      </c>
      <c r="N7" s="8">
        <v>488.4</v>
      </c>
      <c r="O7" s="8">
        <v>1732.9</v>
      </c>
      <c r="P7" s="8">
        <v>224.7</v>
      </c>
      <c r="Q7" s="8">
        <v>206.4</v>
      </c>
    </row>
    <row r="8" ht="15.75" customHeight="1">
      <c r="A8" s="6" t="s">
        <v>16</v>
      </c>
      <c r="B8" s="7" t="s">
        <v>17</v>
      </c>
      <c r="C8" s="10">
        <v>201.4</v>
      </c>
      <c r="D8" s="10">
        <v>488.4</v>
      </c>
      <c r="E8" s="8">
        <v>1553.1</v>
      </c>
      <c r="F8" s="8">
        <v>98.4</v>
      </c>
      <c r="G8" s="8">
        <v>98.5</v>
      </c>
      <c r="H8" s="8">
        <v>30.1</v>
      </c>
      <c r="I8" s="8">
        <v>65.0</v>
      </c>
      <c r="J8" s="8">
        <v>2419.6</v>
      </c>
      <c r="K8" s="8">
        <v>461.1</v>
      </c>
      <c r="L8" s="8">
        <v>980.4</v>
      </c>
      <c r="M8" s="8">
        <v>2419.6</v>
      </c>
      <c r="N8" s="8">
        <v>109.5</v>
      </c>
      <c r="O8" s="8">
        <v>131.4</v>
      </c>
      <c r="P8" s="8">
        <v>81.3</v>
      </c>
      <c r="Q8" s="8">
        <v>45.0</v>
      </c>
    </row>
    <row r="9" ht="15.75" customHeight="1">
      <c r="A9" s="6" t="s">
        <v>89</v>
      </c>
      <c r="B9" s="6" t="s">
        <v>19</v>
      </c>
      <c r="C9" s="10">
        <v>123.6</v>
      </c>
      <c r="D9" s="10">
        <v>387.3</v>
      </c>
      <c r="E9" s="8">
        <v>435.2</v>
      </c>
      <c r="F9" s="8">
        <v>98.8</v>
      </c>
      <c r="G9" s="8">
        <v>218.7</v>
      </c>
      <c r="H9" s="8">
        <v>93.3</v>
      </c>
      <c r="I9" s="8">
        <v>155.3</v>
      </c>
      <c r="J9" s="8">
        <v>517.2</v>
      </c>
      <c r="K9" s="8">
        <v>920.8</v>
      </c>
      <c r="L9" s="8">
        <v>2419.6</v>
      </c>
      <c r="M9" s="6"/>
      <c r="N9" s="8">
        <v>350.0</v>
      </c>
      <c r="O9" s="8">
        <v>1119.9</v>
      </c>
      <c r="P9" s="8">
        <v>105.0</v>
      </c>
      <c r="Q9" s="8">
        <v>58.8</v>
      </c>
    </row>
    <row r="10" ht="15.75" customHeight="1">
      <c r="A10" s="6" t="s">
        <v>20</v>
      </c>
      <c r="B10" s="7" t="s">
        <v>21</v>
      </c>
      <c r="C10" s="10">
        <v>110.6</v>
      </c>
      <c r="D10" s="10">
        <v>79.4</v>
      </c>
      <c r="E10" s="8">
        <v>48.8</v>
      </c>
      <c r="F10" s="8">
        <v>9.8</v>
      </c>
      <c r="G10" s="8">
        <v>30.5</v>
      </c>
      <c r="H10" s="8">
        <v>72.3</v>
      </c>
      <c r="I10" s="8">
        <v>61.3</v>
      </c>
      <c r="J10" s="8">
        <v>240.0</v>
      </c>
      <c r="K10" s="8">
        <v>48.7</v>
      </c>
      <c r="L10" s="8">
        <v>217.8</v>
      </c>
      <c r="M10" s="8">
        <v>178.5</v>
      </c>
      <c r="N10" s="8">
        <v>72.8</v>
      </c>
      <c r="O10" s="8">
        <v>16.9</v>
      </c>
      <c r="P10" s="8">
        <v>24.1</v>
      </c>
      <c r="Q10" s="8">
        <v>7.4</v>
      </c>
    </row>
    <row r="11" ht="15.75" customHeight="1">
      <c r="A11" s="30" t="s">
        <v>22</v>
      </c>
      <c r="B11" s="31" t="s">
        <v>23</v>
      </c>
      <c r="C11" s="32">
        <v>82.0</v>
      </c>
      <c r="D11" s="32">
        <v>93.4</v>
      </c>
      <c r="E11" s="33">
        <v>344.8</v>
      </c>
      <c r="F11" s="33">
        <v>28.5</v>
      </c>
      <c r="G11" s="6"/>
      <c r="H11" s="33">
        <v>18.3</v>
      </c>
      <c r="I11" s="33">
        <v>39.3</v>
      </c>
      <c r="J11" s="33">
        <v>46.7</v>
      </c>
      <c r="K11" s="33">
        <v>1299.7</v>
      </c>
      <c r="L11" s="33">
        <v>1046.2</v>
      </c>
      <c r="M11" s="33">
        <v>1986.3</v>
      </c>
      <c r="N11" s="33">
        <v>116.9</v>
      </c>
      <c r="O11" s="33">
        <v>61.6</v>
      </c>
      <c r="P11" s="33">
        <v>47.9</v>
      </c>
      <c r="Q11" s="33">
        <v>0.0</v>
      </c>
    </row>
    <row r="12" ht="15.75" customHeight="1">
      <c r="A12" s="6" t="s">
        <v>24</v>
      </c>
      <c r="B12" s="7" t="s">
        <v>25</v>
      </c>
      <c r="C12" s="10">
        <v>98.7</v>
      </c>
      <c r="D12" s="10">
        <v>104.3</v>
      </c>
      <c r="E12" s="8">
        <v>249.5</v>
      </c>
      <c r="F12" s="8">
        <v>64.5</v>
      </c>
      <c r="G12" s="8">
        <v>90.8</v>
      </c>
      <c r="H12" s="8">
        <v>33.7</v>
      </c>
      <c r="I12" s="8">
        <v>116.9</v>
      </c>
      <c r="J12" s="8">
        <v>686.7</v>
      </c>
      <c r="K12" s="8">
        <v>1986.3</v>
      </c>
      <c r="L12" s="8">
        <v>2560.0</v>
      </c>
      <c r="M12" s="8">
        <v>2419.6</v>
      </c>
      <c r="N12" s="8">
        <v>95.8</v>
      </c>
      <c r="O12" s="8">
        <v>83.0</v>
      </c>
      <c r="P12" s="8">
        <v>117.8</v>
      </c>
      <c r="Q12" s="8">
        <v>50.4</v>
      </c>
    </row>
    <row r="13" ht="15.75" customHeight="1">
      <c r="A13" s="6" t="s">
        <v>26</v>
      </c>
      <c r="B13" s="7" t="s">
        <v>27</v>
      </c>
      <c r="C13" s="10">
        <v>178.9</v>
      </c>
      <c r="D13" s="10">
        <v>228.2</v>
      </c>
      <c r="E13" s="8">
        <v>224.7</v>
      </c>
      <c r="F13" s="8">
        <v>155.3</v>
      </c>
      <c r="G13" s="8">
        <v>307.6</v>
      </c>
      <c r="H13" s="8">
        <v>770.1</v>
      </c>
      <c r="I13" s="8">
        <v>325.5</v>
      </c>
      <c r="J13" s="8">
        <v>416.0</v>
      </c>
      <c r="K13" s="8">
        <v>1553.1</v>
      </c>
      <c r="L13" s="8">
        <v>2419.6</v>
      </c>
      <c r="M13" s="8">
        <v>1413.6</v>
      </c>
      <c r="N13" s="8">
        <v>248.9</v>
      </c>
      <c r="O13" s="8">
        <v>1119.9</v>
      </c>
      <c r="P13" s="8">
        <v>490.0</v>
      </c>
      <c r="Q13" s="8">
        <v>206.4</v>
      </c>
    </row>
    <row r="14" ht="15.75" customHeight="1">
      <c r="A14" s="6" t="s">
        <v>30</v>
      </c>
      <c r="B14" s="7" t="s">
        <v>31</v>
      </c>
      <c r="C14" s="10">
        <v>82.0</v>
      </c>
      <c r="D14" s="10">
        <v>184.2</v>
      </c>
      <c r="E14" s="8">
        <v>378.4</v>
      </c>
      <c r="F14" s="8">
        <v>44.3</v>
      </c>
      <c r="G14" s="6"/>
      <c r="H14" s="8">
        <v>28.1</v>
      </c>
      <c r="I14" s="8">
        <v>67.7</v>
      </c>
      <c r="J14" s="8">
        <v>203.5</v>
      </c>
      <c r="K14" s="6"/>
      <c r="L14" s="8">
        <v>913.9</v>
      </c>
      <c r="M14" s="8">
        <v>2419.6</v>
      </c>
      <c r="N14" s="8">
        <v>103.9</v>
      </c>
      <c r="O14" s="8">
        <v>42.6</v>
      </c>
      <c r="P14" s="6"/>
      <c r="Q14" s="8">
        <v>66.3</v>
      </c>
    </row>
    <row r="15" ht="15.75" customHeight="1">
      <c r="A15" s="6" t="s">
        <v>76</v>
      </c>
      <c r="B15" s="12" t="s">
        <v>77</v>
      </c>
      <c r="C15" s="11"/>
      <c r="D15" s="11"/>
      <c r="E15" s="6" t="s">
        <v>96</v>
      </c>
      <c r="F15" s="8">
        <v>25.9</v>
      </c>
      <c r="G15" s="8">
        <v>76.7</v>
      </c>
      <c r="H15" s="8">
        <v>8.4</v>
      </c>
      <c r="I15" s="8">
        <v>58.3</v>
      </c>
      <c r="J15" s="8">
        <v>88.4</v>
      </c>
      <c r="K15" s="8">
        <v>1732.9</v>
      </c>
      <c r="L15" s="8">
        <v>1046.2</v>
      </c>
      <c r="M15" s="8">
        <v>344.8</v>
      </c>
      <c r="N15" s="8">
        <v>107.6</v>
      </c>
      <c r="O15" s="8">
        <v>43.2</v>
      </c>
      <c r="P15" s="8">
        <v>24.9</v>
      </c>
      <c r="Q15" s="8">
        <v>8.5</v>
      </c>
    </row>
    <row r="16" ht="15.75" customHeight="1">
      <c r="A16" s="6" t="s">
        <v>34</v>
      </c>
      <c r="B16" s="7" t="s">
        <v>35</v>
      </c>
      <c r="C16" s="10">
        <v>126.7</v>
      </c>
      <c r="D16" s="10">
        <v>95.9</v>
      </c>
      <c r="E16" s="8">
        <v>290.9</v>
      </c>
      <c r="F16" s="8">
        <v>72.3</v>
      </c>
      <c r="G16" s="6"/>
      <c r="H16" s="8">
        <v>60.2</v>
      </c>
      <c r="I16" s="8">
        <v>198.9</v>
      </c>
      <c r="J16" s="8">
        <v>387.3</v>
      </c>
      <c r="K16" s="6"/>
      <c r="L16" s="8">
        <v>2419.6</v>
      </c>
      <c r="M16" s="8">
        <v>2419.6</v>
      </c>
      <c r="N16" s="8">
        <v>116.9</v>
      </c>
      <c r="O16" s="8">
        <v>44.3</v>
      </c>
      <c r="P16" s="6"/>
      <c r="Q16" s="8">
        <v>145.0</v>
      </c>
    </row>
    <row r="17" ht="15.75" customHeight="1">
      <c r="A17" s="6" t="s">
        <v>40</v>
      </c>
      <c r="B17" s="7" t="s">
        <v>41</v>
      </c>
      <c r="C17" s="10">
        <v>387.3</v>
      </c>
      <c r="D17" s="10">
        <v>648.8</v>
      </c>
      <c r="E17" s="8">
        <v>2419.6</v>
      </c>
      <c r="F17" s="6"/>
      <c r="G17" s="6"/>
      <c r="H17" s="8">
        <v>156.5</v>
      </c>
      <c r="I17" s="8">
        <v>190.4</v>
      </c>
      <c r="J17" s="8">
        <v>2419.6</v>
      </c>
      <c r="K17" s="8">
        <v>461.1</v>
      </c>
      <c r="L17" s="8">
        <v>866.4</v>
      </c>
      <c r="M17" s="8">
        <v>2419.6</v>
      </c>
      <c r="N17" s="8">
        <v>131.4</v>
      </c>
      <c r="O17" s="8">
        <v>248.1</v>
      </c>
      <c r="P17" s="8">
        <v>204.6</v>
      </c>
      <c r="Q17" s="8">
        <v>159.7</v>
      </c>
    </row>
    <row r="18" ht="15.75" customHeight="1">
      <c r="A18" s="6" t="s">
        <v>91</v>
      </c>
      <c r="B18" s="7" t="s">
        <v>92</v>
      </c>
      <c r="C18" s="10">
        <v>22.3</v>
      </c>
      <c r="D18" s="10">
        <v>61.7</v>
      </c>
      <c r="E18" s="8">
        <v>131.4</v>
      </c>
      <c r="F18" s="8">
        <v>76.7</v>
      </c>
      <c r="G18" s="8">
        <v>140.1</v>
      </c>
      <c r="H18" s="8">
        <v>148.3</v>
      </c>
      <c r="I18" s="8">
        <v>155.3</v>
      </c>
      <c r="J18" s="8">
        <v>310.0</v>
      </c>
      <c r="K18" s="8">
        <v>165.8</v>
      </c>
      <c r="L18" s="8">
        <v>248.1</v>
      </c>
      <c r="M18" s="8">
        <v>238.2</v>
      </c>
      <c r="N18" s="8">
        <v>156.5</v>
      </c>
      <c r="O18" s="6"/>
      <c r="P18" s="8">
        <v>201.4</v>
      </c>
      <c r="Q18" s="8">
        <v>118.7</v>
      </c>
    </row>
    <row r="19" ht="15.75" customHeight="1">
      <c r="A19" s="6" t="s">
        <v>45</v>
      </c>
      <c r="B19" s="7" t="s">
        <v>46</v>
      </c>
      <c r="C19" s="10">
        <v>145.0</v>
      </c>
      <c r="D19" s="11"/>
      <c r="E19" s="8">
        <v>238.2</v>
      </c>
      <c r="F19" s="8">
        <v>145.0</v>
      </c>
      <c r="G19" s="8">
        <v>435.2</v>
      </c>
      <c r="H19" s="6"/>
      <c r="I19" s="8">
        <v>325.5</v>
      </c>
      <c r="J19" s="8">
        <v>315.0</v>
      </c>
      <c r="K19" s="8">
        <v>1046.2</v>
      </c>
      <c r="L19" s="8">
        <v>488.4</v>
      </c>
      <c r="M19" s="8">
        <v>1553.1</v>
      </c>
      <c r="N19" s="6"/>
      <c r="O19" s="6"/>
      <c r="P19" s="8">
        <v>3.0</v>
      </c>
      <c r="Q19" s="8">
        <v>198.9</v>
      </c>
    </row>
    <row r="20" ht="15.75" customHeight="1">
      <c r="A20" s="6" t="s">
        <v>47</v>
      </c>
      <c r="B20" s="13" t="s">
        <v>48</v>
      </c>
      <c r="C20" s="10">
        <v>365.4</v>
      </c>
      <c r="D20" s="10">
        <v>298.7</v>
      </c>
      <c r="E20" s="6"/>
      <c r="F20" s="8">
        <v>461.1</v>
      </c>
      <c r="G20" s="8">
        <v>344.8</v>
      </c>
      <c r="H20" s="8">
        <v>190.4</v>
      </c>
      <c r="I20" s="8">
        <v>201.4</v>
      </c>
      <c r="J20" s="8">
        <v>375.0</v>
      </c>
      <c r="K20" s="8">
        <v>2419.6</v>
      </c>
      <c r="L20" s="8">
        <v>866.4</v>
      </c>
      <c r="M20" s="8">
        <v>2419.6</v>
      </c>
      <c r="N20" s="8">
        <v>613.1</v>
      </c>
      <c r="O20" s="8">
        <v>686.7</v>
      </c>
      <c r="P20" s="8">
        <v>313.0</v>
      </c>
      <c r="Q20" s="8">
        <v>135.4</v>
      </c>
    </row>
    <row r="21" ht="15.75" customHeight="1">
      <c r="A21" s="6" t="s">
        <v>85</v>
      </c>
      <c r="B21" s="23" t="s">
        <v>86</v>
      </c>
      <c r="C21" s="11"/>
      <c r="D21" s="10">
        <v>1046.2</v>
      </c>
      <c r="E21" s="8">
        <v>920.8</v>
      </c>
      <c r="F21" s="8">
        <v>1413.6</v>
      </c>
      <c r="G21" s="8">
        <v>461.1</v>
      </c>
      <c r="H21" s="8">
        <v>866.4</v>
      </c>
      <c r="I21" s="8">
        <v>2419.6</v>
      </c>
      <c r="J21" s="8">
        <v>1119.9</v>
      </c>
      <c r="K21" s="8">
        <v>2419.6</v>
      </c>
      <c r="L21" s="8">
        <v>2419.6</v>
      </c>
      <c r="M21" s="8">
        <v>1986.3</v>
      </c>
      <c r="N21" s="8">
        <v>2419.6</v>
      </c>
      <c r="O21" s="8">
        <v>920.8</v>
      </c>
      <c r="P21" s="8">
        <v>378.4</v>
      </c>
      <c r="Q21" s="8">
        <v>410.6</v>
      </c>
    </row>
    <row r="22" ht="15.75" customHeight="1">
      <c r="A22" s="6" t="s">
        <v>51</v>
      </c>
      <c r="B22" s="12" t="s">
        <v>52</v>
      </c>
      <c r="C22" s="10">
        <v>78.4</v>
      </c>
      <c r="D22" s="10">
        <v>1119.9</v>
      </c>
      <c r="E22" s="8">
        <v>39.9</v>
      </c>
      <c r="F22" s="8">
        <v>24.1</v>
      </c>
      <c r="G22" s="8">
        <v>88.2</v>
      </c>
      <c r="H22" s="8">
        <v>29.1</v>
      </c>
      <c r="I22" s="8">
        <v>108.6</v>
      </c>
      <c r="J22" s="8">
        <v>61.3</v>
      </c>
      <c r="K22" s="8">
        <v>14.2</v>
      </c>
      <c r="L22" s="8">
        <v>69.7</v>
      </c>
      <c r="M22" s="8">
        <v>35.0</v>
      </c>
      <c r="N22" s="8">
        <v>17.1</v>
      </c>
      <c r="O22" s="8">
        <v>34.5</v>
      </c>
      <c r="P22" s="8">
        <v>58.1</v>
      </c>
      <c r="Q22" s="8">
        <v>33.2</v>
      </c>
    </row>
    <row r="23" ht="15.75" customHeight="1">
      <c r="A23" s="6" t="s">
        <v>53</v>
      </c>
      <c r="B23" s="12" t="s">
        <v>54</v>
      </c>
      <c r="C23" s="10">
        <v>12.1</v>
      </c>
      <c r="D23" s="10">
        <v>1553.1</v>
      </c>
      <c r="E23" s="8">
        <v>14.4</v>
      </c>
      <c r="F23" s="8">
        <v>10.9</v>
      </c>
      <c r="G23" s="8">
        <v>9.8</v>
      </c>
      <c r="H23" s="8">
        <v>3.0</v>
      </c>
      <c r="I23" s="8">
        <v>8.0</v>
      </c>
      <c r="J23" s="8">
        <v>2.0</v>
      </c>
      <c r="K23" s="8">
        <v>6.3</v>
      </c>
      <c r="L23" s="8">
        <v>8.4</v>
      </c>
      <c r="M23" s="8">
        <v>201.4</v>
      </c>
      <c r="N23" s="8">
        <v>8.6</v>
      </c>
      <c r="O23" s="8">
        <v>1.0</v>
      </c>
      <c r="P23" s="8">
        <v>1.0</v>
      </c>
      <c r="Q23" s="8">
        <v>3.1</v>
      </c>
    </row>
    <row r="24" ht="15.75" customHeight="1">
      <c r="A24" s="6" t="s">
        <v>55</v>
      </c>
      <c r="B24" s="24" t="s">
        <v>93</v>
      </c>
      <c r="C24" s="10">
        <v>275.5</v>
      </c>
      <c r="D24" s="10">
        <v>920.0</v>
      </c>
      <c r="E24" s="8">
        <v>156.5</v>
      </c>
      <c r="F24" s="8">
        <v>19.9</v>
      </c>
      <c r="G24" s="6"/>
      <c r="H24" s="8">
        <v>55.4</v>
      </c>
      <c r="I24" s="8">
        <v>79.4</v>
      </c>
      <c r="J24" s="8">
        <v>34.1</v>
      </c>
      <c r="K24" s="8">
        <v>56.0</v>
      </c>
      <c r="L24" s="8">
        <v>34.1</v>
      </c>
      <c r="M24" s="6"/>
      <c r="N24" s="8">
        <v>29.4</v>
      </c>
      <c r="O24" s="8">
        <v>38.4</v>
      </c>
      <c r="P24" s="8">
        <v>59.4</v>
      </c>
      <c r="Q24" s="8">
        <v>131.4</v>
      </c>
    </row>
    <row r="25" ht="15.75" customHeight="1">
      <c r="A25" s="6" t="s">
        <v>78</v>
      </c>
      <c r="B25" s="24" t="s">
        <v>94</v>
      </c>
      <c r="C25" s="10">
        <v>111.9</v>
      </c>
      <c r="D25" s="10">
        <v>378.4</v>
      </c>
      <c r="E25" s="8">
        <v>98.7</v>
      </c>
      <c r="F25" s="8">
        <v>435.2</v>
      </c>
      <c r="G25" s="8">
        <v>178.9</v>
      </c>
      <c r="H25" s="8">
        <v>49.0</v>
      </c>
      <c r="I25" s="8">
        <v>70.3</v>
      </c>
      <c r="J25" s="8">
        <v>547.5</v>
      </c>
      <c r="K25" s="8">
        <v>1553.1</v>
      </c>
      <c r="L25" s="8">
        <v>461.1</v>
      </c>
      <c r="M25" s="8">
        <v>1553.1</v>
      </c>
      <c r="N25" s="8">
        <v>22.8</v>
      </c>
      <c r="O25" s="8">
        <v>21.1</v>
      </c>
      <c r="P25" s="8">
        <v>44.1</v>
      </c>
      <c r="Q25" s="8">
        <v>59.1</v>
      </c>
    </row>
    <row r="26" ht="15.75" customHeight="1">
      <c r="A26" s="6" t="s">
        <v>57</v>
      </c>
      <c r="B26" s="6" t="s">
        <v>58</v>
      </c>
      <c r="C26" s="11"/>
      <c r="D26" s="11"/>
      <c r="E26" s="8">
        <v>201.4</v>
      </c>
      <c r="F26" s="8">
        <v>107.1</v>
      </c>
      <c r="G26" s="8">
        <v>198.9</v>
      </c>
      <c r="H26" s="8">
        <v>88.2</v>
      </c>
      <c r="I26" s="8">
        <v>117.8</v>
      </c>
      <c r="J26" s="8">
        <v>104.3</v>
      </c>
      <c r="K26" s="8">
        <v>517.2</v>
      </c>
      <c r="L26" s="8">
        <v>224.7</v>
      </c>
      <c r="M26" s="8">
        <v>547.5</v>
      </c>
      <c r="N26" s="8">
        <v>98.4</v>
      </c>
      <c r="O26" s="8">
        <v>116.0</v>
      </c>
      <c r="P26" s="8">
        <v>195.6</v>
      </c>
      <c r="Q26" s="8">
        <v>201.4</v>
      </c>
    </row>
    <row r="27" ht="15.75" customHeight="1">
      <c r="A27" s="6" t="s">
        <v>61</v>
      </c>
      <c r="B27" s="12" t="s">
        <v>62</v>
      </c>
      <c r="C27" s="10">
        <v>238.2</v>
      </c>
      <c r="D27" s="11"/>
      <c r="E27" s="8">
        <v>410.6</v>
      </c>
      <c r="F27" s="8">
        <v>88.2</v>
      </c>
      <c r="G27" s="8">
        <v>344.8</v>
      </c>
      <c r="H27" s="8">
        <v>461.1</v>
      </c>
      <c r="I27" s="6"/>
      <c r="J27" s="8">
        <v>272.3</v>
      </c>
      <c r="K27" s="8">
        <v>2419.6</v>
      </c>
      <c r="L27" s="6"/>
      <c r="M27" s="6"/>
      <c r="N27" s="8">
        <v>387.3</v>
      </c>
      <c r="O27" s="8">
        <v>344.1</v>
      </c>
      <c r="P27" s="8">
        <v>547.6</v>
      </c>
      <c r="Q27" s="8">
        <v>727.0</v>
      </c>
    </row>
    <row r="28" ht="15.75" customHeight="1">
      <c r="A28" s="6" t="s">
        <v>63</v>
      </c>
      <c r="B28" s="7" t="s">
        <v>64</v>
      </c>
      <c r="C28" s="10">
        <v>325.5</v>
      </c>
      <c r="D28" s="10">
        <v>344.8</v>
      </c>
      <c r="E28" s="8">
        <v>88.4</v>
      </c>
      <c r="F28" s="8">
        <v>214.3</v>
      </c>
      <c r="G28" s="8">
        <v>118.7</v>
      </c>
      <c r="H28" s="8">
        <v>160.7</v>
      </c>
      <c r="I28" s="8">
        <v>816.4</v>
      </c>
      <c r="J28" s="8">
        <v>547.5</v>
      </c>
      <c r="K28" s="8">
        <v>579.4</v>
      </c>
      <c r="L28" s="6"/>
      <c r="M28" s="8">
        <v>1553.1</v>
      </c>
      <c r="N28" s="8">
        <v>1553.1</v>
      </c>
      <c r="O28" s="8">
        <v>517.2</v>
      </c>
      <c r="P28" s="6"/>
      <c r="Q28" s="8">
        <v>193.5</v>
      </c>
    </row>
    <row r="29" ht="15.75" customHeight="1">
      <c r="A29" s="6" t="s">
        <v>67</v>
      </c>
      <c r="B29" s="7" t="s">
        <v>68</v>
      </c>
      <c r="C29" s="10">
        <v>290.9</v>
      </c>
      <c r="D29" s="11"/>
      <c r="E29" s="8">
        <v>325.5</v>
      </c>
      <c r="F29" s="8">
        <v>365.4</v>
      </c>
      <c r="G29" s="8">
        <v>79.8</v>
      </c>
      <c r="H29" s="8">
        <v>135.4</v>
      </c>
      <c r="I29" s="6"/>
      <c r="J29" s="8">
        <v>387.3</v>
      </c>
      <c r="K29" s="8">
        <v>2419.6</v>
      </c>
      <c r="L29" s="8">
        <v>344.8</v>
      </c>
      <c r="M29" s="8">
        <v>2419.6</v>
      </c>
      <c r="N29" s="8">
        <v>344.8</v>
      </c>
      <c r="O29" s="8">
        <v>488.4</v>
      </c>
      <c r="P29" s="8">
        <v>461.1</v>
      </c>
      <c r="Q29" s="8">
        <v>307.6</v>
      </c>
    </row>
    <row r="30" ht="15.75" customHeight="1">
      <c r="A30" s="6" t="s">
        <v>69</v>
      </c>
      <c r="B30" s="7" t="s">
        <v>70</v>
      </c>
      <c r="C30" s="10">
        <v>214.3</v>
      </c>
      <c r="D30" s="10">
        <v>816.4</v>
      </c>
      <c r="E30" s="8">
        <v>231.0</v>
      </c>
      <c r="F30" s="8">
        <v>178.0</v>
      </c>
      <c r="G30" s="8">
        <v>410.6</v>
      </c>
      <c r="H30" s="8">
        <v>104.6</v>
      </c>
      <c r="I30" s="8">
        <v>365.4</v>
      </c>
      <c r="J30" s="8">
        <v>613.1</v>
      </c>
      <c r="K30" s="8">
        <v>2419.6</v>
      </c>
      <c r="L30" s="8">
        <v>178.5</v>
      </c>
      <c r="M30" s="8">
        <v>137.6</v>
      </c>
      <c r="N30" s="8">
        <v>461.1</v>
      </c>
      <c r="O30" s="8">
        <v>517.2</v>
      </c>
      <c r="P30" s="8">
        <v>1732.9</v>
      </c>
      <c r="Q30" s="8">
        <v>1413.6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34.38"/>
  </cols>
  <sheetData>
    <row r="1" ht="15.75" customHeight="1">
      <c r="A1" s="26" t="s">
        <v>0</v>
      </c>
      <c r="B1" s="26" t="s">
        <v>1</v>
      </c>
      <c r="C1" s="27">
        <v>45798.0</v>
      </c>
      <c r="D1" s="29">
        <v>45805.0</v>
      </c>
      <c r="E1" s="29">
        <v>45812.0</v>
      </c>
      <c r="F1" s="29">
        <v>45819.0</v>
      </c>
      <c r="G1" s="29">
        <v>45826.0</v>
      </c>
      <c r="H1" s="27">
        <v>45833.0</v>
      </c>
      <c r="I1" s="27">
        <v>45840.0</v>
      </c>
      <c r="J1" s="27">
        <v>45847.0</v>
      </c>
      <c r="K1" s="27">
        <v>45854.0</v>
      </c>
      <c r="L1" s="27">
        <v>45861.0</v>
      </c>
      <c r="M1" s="27">
        <v>45868.0</v>
      </c>
      <c r="N1" s="27">
        <v>45875.0</v>
      </c>
    </row>
    <row r="2" ht="15.75" customHeight="1">
      <c r="A2" s="6" t="s">
        <v>2</v>
      </c>
      <c r="B2" s="12" t="s">
        <v>3</v>
      </c>
      <c r="C2" s="10" t="s">
        <v>97</v>
      </c>
      <c r="D2" s="10">
        <v>435.0</v>
      </c>
      <c r="E2" s="8">
        <v>50.0</v>
      </c>
      <c r="F2" s="8">
        <v>50.0</v>
      </c>
      <c r="G2" s="8">
        <f>7.5*50</f>
        <v>375</v>
      </c>
      <c r="H2" s="8">
        <f>5.3*50</f>
        <v>265</v>
      </c>
      <c r="I2" s="8">
        <f>93.4*50</f>
        <v>4670</v>
      </c>
      <c r="J2" s="8">
        <v>50.0</v>
      </c>
      <c r="K2" s="34">
        <v>150.0</v>
      </c>
      <c r="L2" s="34">
        <f t="shared" ref="L2:M2" si="1">6.3*50</f>
        <v>315</v>
      </c>
      <c r="M2" s="34">
        <f t="shared" si="1"/>
        <v>315</v>
      </c>
      <c r="N2" s="34">
        <v>50.0</v>
      </c>
    </row>
    <row r="3" ht="15.75" customHeight="1">
      <c r="A3" s="6" t="s">
        <v>80</v>
      </c>
      <c r="B3" s="35" t="s">
        <v>81</v>
      </c>
      <c r="C3" s="10">
        <f>77.6*50</f>
        <v>3880</v>
      </c>
      <c r="D3" s="10">
        <f>2*50</f>
        <v>100</v>
      </c>
      <c r="E3" s="8">
        <v>50.0</v>
      </c>
      <c r="F3" s="8">
        <v>50.0</v>
      </c>
      <c r="G3" s="8">
        <f>8.7*50</f>
        <v>435</v>
      </c>
      <c r="H3" s="8">
        <v>100.0</v>
      </c>
      <c r="I3" s="8" t="s">
        <v>97</v>
      </c>
      <c r="J3" s="8">
        <f>27.2*50</f>
        <v>1360</v>
      </c>
      <c r="K3" s="34">
        <v>155.0</v>
      </c>
      <c r="L3" s="34">
        <v>100.0</v>
      </c>
      <c r="M3" s="34">
        <f>866.4*50</f>
        <v>43320</v>
      </c>
      <c r="N3" s="34">
        <v>155.0</v>
      </c>
    </row>
    <row r="4" ht="15.75" customHeight="1">
      <c r="A4" s="6" t="s">
        <v>82</v>
      </c>
      <c r="B4" s="12" t="s">
        <v>5</v>
      </c>
      <c r="C4" s="10">
        <f>73.8*50</f>
        <v>3690</v>
      </c>
      <c r="D4" s="10">
        <f>34.4*50</f>
        <v>1720</v>
      </c>
      <c r="E4" s="8">
        <f>5.3*50</f>
        <v>265</v>
      </c>
      <c r="F4" s="8">
        <f>13.7*50</f>
        <v>685</v>
      </c>
      <c r="G4" s="8">
        <f>200.5*50</f>
        <v>10025</v>
      </c>
      <c r="H4" s="8">
        <f>4.1*50</f>
        <v>205</v>
      </c>
      <c r="I4" s="8">
        <f>42.8*50</f>
        <v>2140</v>
      </c>
      <c r="J4" s="8">
        <v>155.0</v>
      </c>
      <c r="K4" s="34">
        <f>22.8*50</f>
        <v>1140</v>
      </c>
      <c r="L4" s="34">
        <f>95.9*50</f>
        <v>4795</v>
      </c>
      <c r="M4" s="34">
        <f>17.1*50</f>
        <v>855</v>
      </c>
      <c r="N4" s="34">
        <f>12.1*50</f>
        <v>605</v>
      </c>
    </row>
    <row r="5" ht="15.75" customHeight="1">
      <c r="A5" s="6" t="s">
        <v>8</v>
      </c>
      <c r="B5" s="12" t="s">
        <v>9</v>
      </c>
      <c r="C5" s="10">
        <f>6.4*50</f>
        <v>320</v>
      </c>
      <c r="D5" s="10">
        <f>50.4*50</f>
        <v>2520</v>
      </c>
      <c r="E5" s="10">
        <v>100.0</v>
      </c>
      <c r="F5" s="8">
        <f>88.5*50</f>
        <v>4425</v>
      </c>
      <c r="G5" s="8">
        <v>265.0</v>
      </c>
      <c r="H5" s="8">
        <v>50.0</v>
      </c>
      <c r="I5" s="8">
        <f>37.3*50</f>
        <v>1865</v>
      </c>
      <c r="J5" s="8">
        <f>7.4*50</f>
        <v>370</v>
      </c>
      <c r="K5" s="34">
        <f>8.6*50</f>
        <v>430</v>
      </c>
      <c r="L5" s="34">
        <f>50*43.5</f>
        <v>2175</v>
      </c>
      <c r="M5" s="34" t="s">
        <v>97</v>
      </c>
      <c r="N5" s="36" t="s">
        <v>97</v>
      </c>
    </row>
    <row r="6" ht="15.75" customHeight="1">
      <c r="A6" s="6" t="s">
        <v>98</v>
      </c>
      <c r="B6" s="6" t="s">
        <v>99</v>
      </c>
      <c r="C6" s="10">
        <f>34.4*50</f>
        <v>1720</v>
      </c>
      <c r="D6" s="10">
        <f>9.9*50</f>
        <v>495</v>
      </c>
      <c r="E6" s="8">
        <v>100.0</v>
      </c>
      <c r="F6" s="8">
        <v>50.0</v>
      </c>
      <c r="G6" s="8">
        <f>38.4*50</f>
        <v>1920</v>
      </c>
      <c r="H6" s="8">
        <f>50*4.1</f>
        <v>205</v>
      </c>
      <c r="I6" s="8">
        <f>22.6*50</f>
        <v>1130</v>
      </c>
      <c r="J6" s="8" t="s">
        <v>97</v>
      </c>
      <c r="K6" s="34">
        <f>48*50</f>
        <v>2400</v>
      </c>
      <c r="L6" s="34">
        <f>5.2*50</f>
        <v>260</v>
      </c>
      <c r="M6" s="34">
        <f>34.1*50</f>
        <v>1705</v>
      </c>
      <c r="N6" s="34">
        <f>31.1*50</f>
        <v>1555</v>
      </c>
    </row>
    <row r="7" ht="15.75" customHeight="1">
      <c r="A7" s="6" t="s">
        <v>10</v>
      </c>
      <c r="B7" s="12" t="s">
        <v>11</v>
      </c>
      <c r="C7" s="10">
        <f>101.3*50</f>
        <v>5065</v>
      </c>
      <c r="D7" s="10">
        <f>11.1*50</f>
        <v>555</v>
      </c>
      <c r="E7" s="8">
        <v>50.0</v>
      </c>
      <c r="F7" s="8">
        <v>50.0</v>
      </c>
      <c r="G7" s="8">
        <f>56*50</f>
        <v>2800</v>
      </c>
      <c r="H7" s="8">
        <f>3.1*50</f>
        <v>155</v>
      </c>
      <c r="I7" s="8">
        <f>47.1*50</f>
        <v>2355</v>
      </c>
      <c r="J7" s="8">
        <v>50.0</v>
      </c>
      <c r="K7" s="34">
        <f>48.8*50</f>
        <v>2440</v>
      </c>
      <c r="L7" s="34">
        <f>14.5*50</f>
        <v>725</v>
      </c>
      <c r="M7" s="34" t="s">
        <v>97</v>
      </c>
      <c r="N7" s="34">
        <v>50.0</v>
      </c>
    </row>
    <row r="8" ht="15.75" customHeight="1">
      <c r="A8" s="6" t="s">
        <v>14</v>
      </c>
      <c r="B8" s="12" t="s">
        <v>15</v>
      </c>
      <c r="C8" s="10">
        <f>45.3*50</f>
        <v>2265</v>
      </c>
      <c r="D8" s="10">
        <f>42.9*50</f>
        <v>2145</v>
      </c>
      <c r="E8" s="8">
        <f>3.1*50</f>
        <v>155</v>
      </c>
      <c r="F8" s="8">
        <f>12.4*50</f>
        <v>620</v>
      </c>
      <c r="G8" s="8" t="s">
        <v>97</v>
      </c>
      <c r="H8" s="8">
        <f>7.5*50</f>
        <v>375</v>
      </c>
      <c r="I8" s="8" t="s">
        <v>97</v>
      </c>
      <c r="J8" s="8">
        <v>50.0</v>
      </c>
      <c r="K8" s="34">
        <v>50.0</v>
      </c>
      <c r="L8" s="34">
        <v>550.0</v>
      </c>
      <c r="M8" s="34">
        <f>41*50</f>
        <v>2050</v>
      </c>
      <c r="N8" s="34">
        <v>675.0</v>
      </c>
    </row>
    <row r="9" ht="15.75" customHeight="1">
      <c r="A9" s="6" t="s">
        <v>16</v>
      </c>
      <c r="B9" s="12" t="s">
        <v>17</v>
      </c>
      <c r="C9" s="10">
        <v>1330.0</v>
      </c>
      <c r="D9" s="10">
        <f>13.7*50</f>
        <v>685</v>
      </c>
      <c r="E9" s="8">
        <v>50.0</v>
      </c>
      <c r="F9" s="8">
        <f>34.4*50</f>
        <v>1720</v>
      </c>
      <c r="G9" s="8">
        <f>7.5*50</f>
        <v>375</v>
      </c>
      <c r="H9" s="8">
        <f>18.9*50</f>
        <v>945</v>
      </c>
      <c r="I9" s="8">
        <f>23.1*50</f>
        <v>1155</v>
      </c>
      <c r="J9" s="8">
        <f>12*50</f>
        <v>600</v>
      </c>
      <c r="K9" s="34">
        <v>155.0</v>
      </c>
      <c r="L9" s="34">
        <f>31.3*50</f>
        <v>1565</v>
      </c>
      <c r="M9" s="34">
        <f>75.9*50</f>
        <v>3795</v>
      </c>
      <c r="N9" s="34">
        <f>8.5*50</f>
        <v>425</v>
      </c>
    </row>
    <row r="10" ht="15.75" customHeight="1">
      <c r="A10" s="6" t="s">
        <v>89</v>
      </c>
      <c r="B10" s="6" t="s">
        <v>19</v>
      </c>
      <c r="C10" s="10">
        <f>11.1*50</f>
        <v>555</v>
      </c>
      <c r="D10" s="10">
        <f>20.7*50</f>
        <v>1035</v>
      </c>
      <c r="E10" s="8">
        <v>100.0</v>
      </c>
      <c r="F10" s="8">
        <v>50.0</v>
      </c>
      <c r="G10" s="8">
        <f>8.7*50</f>
        <v>435</v>
      </c>
      <c r="H10" s="8">
        <f>3*50</f>
        <v>150</v>
      </c>
      <c r="I10" s="8">
        <f>17.1*50</f>
        <v>855</v>
      </c>
      <c r="J10" s="8">
        <v>100.0</v>
      </c>
      <c r="K10" s="34">
        <f>45.7*50</f>
        <v>2285</v>
      </c>
      <c r="L10" s="34">
        <f>50*4.1</f>
        <v>205</v>
      </c>
      <c r="M10" s="34">
        <f>79.8*50</f>
        <v>3990</v>
      </c>
      <c r="N10" s="34">
        <v>800.0</v>
      </c>
    </row>
    <row r="11" ht="15.75" customHeight="1">
      <c r="A11" s="6" t="s">
        <v>20</v>
      </c>
      <c r="B11" s="12" t="s">
        <v>21</v>
      </c>
      <c r="C11" s="10">
        <f>44.3*50</f>
        <v>2215</v>
      </c>
      <c r="D11" s="10">
        <f>19.2*50</f>
        <v>960</v>
      </c>
      <c r="E11" s="8">
        <v>50.0</v>
      </c>
      <c r="F11" s="8">
        <v>50.0</v>
      </c>
      <c r="G11" s="8">
        <f>11.1*50</f>
        <v>555</v>
      </c>
      <c r="H11" s="8">
        <v>100.0</v>
      </c>
      <c r="I11" s="8">
        <f>52.1*50</f>
        <v>2605</v>
      </c>
      <c r="J11" s="8">
        <v>100.0</v>
      </c>
      <c r="K11" s="34">
        <v>155.0</v>
      </c>
      <c r="L11" s="34">
        <v>0.0</v>
      </c>
      <c r="M11" s="34">
        <f>6.2*50</f>
        <v>310</v>
      </c>
      <c r="N11" s="34">
        <f>39.3*50</f>
        <v>1965</v>
      </c>
    </row>
    <row r="12" ht="15.75" customHeight="1">
      <c r="A12" s="6" t="s">
        <v>72</v>
      </c>
      <c r="B12" s="6" t="s">
        <v>73</v>
      </c>
      <c r="C12" s="10" t="s">
        <v>97</v>
      </c>
      <c r="D12" s="10" t="s">
        <v>97</v>
      </c>
      <c r="E12" s="10" t="s">
        <v>97</v>
      </c>
      <c r="F12" s="8" t="s">
        <v>97</v>
      </c>
      <c r="G12" s="8" t="s">
        <v>97</v>
      </c>
      <c r="H12" s="8" t="s">
        <v>97</v>
      </c>
      <c r="I12" s="8" t="s">
        <v>97</v>
      </c>
      <c r="J12" s="8" t="s">
        <v>97</v>
      </c>
      <c r="K12" s="8" t="s">
        <v>97</v>
      </c>
      <c r="L12" s="34" t="s">
        <v>97</v>
      </c>
      <c r="M12" s="34" t="s">
        <v>97</v>
      </c>
      <c r="N12" s="36" t="s">
        <v>97</v>
      </c>
    </row>
    <row r="13" ht="15.75" customHeight="1">
      <c r="A13" s="6" t="s">
        <v>22</v>
      </c>
      <c r="B13" s="7" t="s">
        <v>23</v>
      </c>
      <c r="C13" s="10" t="s">
        <v>97</v>
      </c>
      <c r="D13" s="10" t="s">
        <v>97</v>
      </c>
      <c r="E13" s="8">
        <v>100.0</v>
      </c>
      <c r="F13" s="8">
        <f>12.4*50</f>
        <v>620</v>
      </c>
      <c r="G13" s="8" t="s">
        <v>97</v>
      </c>
      <c r="H13" s="8" t="s">
        <v>97</v>
      </c>
      <c r="I13" s="8" t="s">
        <v>97</v>
      </c>
      <c r="J13" s="8">
        <f>8.5*50</f>
        <v>425</v>
      </c>
      <c r="K13" s="34">
        <f>50*6.3</f>
        <v>315</v>
      </c>
      <c r="L13" s="34">
        <f>14.4*50</f>
        <v>720</v>
      </c>
      <c r="M13" s="34">
        <f>33.6*50</f>
        <v>1680</v>
      </c>
      <c r="N13" s="34">
        <f>14.8*50</f>
        <v>740</v>
      </c>
    </row>
    <row r="14" ht="15.75" customHeight="1">
      <c r="A14" s="6" t="s">
        <v>24</v>
      </c>
      <c r="B14" s="12" t="s">
        <v>25</v>
      </c>
      <c r="C14" s="10">
        <f>25.9*50</f>
        <v>1295</v>
      </c>
      <c r="D14" s="10">
        <v>820.0</v>
      </c>
      <c r="E14" s="8">
        <v>50.0</v>
      </c>
      <c r="F14" s="8">
        <f>16.4*50</f>
        <v>820</v>
      </c>
      <c r="G14" s="8">
        <f>36.4*50</f>
        <v>1820</v>
      </c>
      <c r="H14" s="8">
        <f>11.1*50</f>
        <v>555</v>
      </c>
      <c r="I14" s="8">
        <f t="shared" ref="I14:I15" si="2">17.3*50</f>
        <v>865</v>
      </c>
      <c r="J14" s="8">
        <f>3*50</f>
        <v>150</v>
      </c>
      <c r="K14" s="34">
        <f>14.5*50</f>
        <v>725</v>
      </c>
      <c r="L14" s="34">
        <f>14.8*50</f>
        <v>740</v>
      </c>
      <c r="M14" s="34">
        <f>143.9*50</f>
        <v>7195</v>
      </c>
      <c r="N14" s="34">
        <f>21.3*50</f>
        <v>1065</v>
      </c>
    </row>
    <row r="15" ht="15.75" customHeight="1">
      <c r="A15" s="6" t="s">
        <v>26</v>
      </c>
      <c r="B15" s="12" t="s">
        <v>27</v>
      </c>
      <c r="C15" s="10" t="s">
        <v>97</v>
      </c>
      <c r="D15" s="10">
        <f>19.2*50</f>
        <v>960</v>
      </c>
      <c r="E15" s="8">
        <v>50.0</v>
      </c>
      <c r="F15" s="8">
        <f>5.3*50</f>
        <v>265</v>
      </c>
      <c r="G15" s="8">
        <f>53.1*50</f>
        <v>2655</v>
      </c>
      <c r="H15" s="8" t="s">
        <v>97</v>
      </c>
      <c r="I15" s="8">
        <f t="shared" si="2"/>
        <v>865</v>
      </c>
      <c r="J15" s="8">
        <v>50.0</v>
      </c>
      <c r="K15" s="8" t="s">
        <v>97</v>
      </c>
      <c r="L15" s="34">
        <f>6.3*50</f>
        <v>315</v>
      </c>
      <c r="M15" s="34">
        <f>21.1*50</f>
        <v>1055</v>
      </c>
      <c r="N15" s="34">
        <f>7.5*50</f>
        <v>375</v>
      </c>
    </row>
    <row r="16" ht="15.75" customHeight="1">
      <c r="A16" s="6" t="s">
        <v>28</v>
      </c>
      <c r="B16" s="7" t="s">
        <v>29</v>
      </c>
      <c r="C16" s="10">
        <f>34.4*50</f>
        <v>1720</v>
      </c>
      <c r="D16" s="10">
        <f>23.8*50</f>
        <v>1190</v>
      </c>
      <c r="E16" s="8">
        <v>100.0</v>
      </c>
      <c r="F16" s="8">
        <f>11.1*50</f>
        <v>555</v>
      </c>
      <c r="G16" s="8" t="s">
        <v>97</v>
      </c>
      <c r="H16" s="8">
        <f>15*50</f>
        <v>750</v>
      </c>
      <c r="I16" s="8" t="s">
        <v>97</v>
      </c>
      <c r="J16" s="8">
        <f>5.2*50</f>
        <v>260</v>
      </c>
      <c r="K16" s="34">
        <f>86.5*50</f>
        <v>4325</v>
      </c>
      <c r="L16" s="34">
        <f>19.3*50</f>
        <v>965</v>
      </c>
      <c r="M16" s="34">
        <f>22.8*50</f>
        <v>1140</v>
      </c>
      <c r="N16" s="34">
        <v>875.0</v>
      </c>
    </row>
    <row r="17" ht="15.75" customHeight="1">
      <c r="A17" s="6" t="s">
        <v>30</v>
      </c>
      <c r="B17" s="12" t="s">
        <v>31</v>
      </c>
      <c r="C17" s="10">
        <f>24.6*50</f>
        <v>1230</v>
      </c>
      <c r="D17" s="10">
        <v>375.0</v>
      </c>
      <c r="E17" s="8">
        <v>50.0</v>
      </c>
      <c r="F17" s="8">
        <f>30.6*50</f>
        <v>1530</v>
      </c>
      <c r="G17" s="8">
        <f>53.1*50</f>
        <v>2655</v>
      </c>
      <c r="H17" s="8">
        <f>5.3*50</f>
        <v>265</v>
      </c>
      <c r="I17" s="8">
        <f>5.2*50</f>
        <v>260</v>
      </c>
      <c r="J17" s="8">
        <f>50*6.3</f>
        <v>315</v>
      </c>
      <c r="K17" s="34">
        <f>50*5.2</f>
        <v>260</v>
      </c>
      <c r="L17" s="34">
        <f>16.1*50</f>
        <v>805</v>
      </c>
      <c r="M17" s="34">
        <f>73.8*50</f>
        <v>3690</v>
      </c>
      <c r="N17" s="34">
        <v>855.0</v>
      </c>
    </row>
    <row r="18" ht="15.75" customHeight="1">
      <c r="A18" s="6" t="s">
        <v>76</v>
      </c>
      <c r="B18" s="12" t="s">
        <v>77</v>
      </c>
      <c r="C18" s="8">
        <f>74.9*50</f>
        <v>3745</v>
      </c>
      <c r="D18" s="10">
        <f>8.7*50</f>
        <v>435</v>
      </c>
      <c r="E18" s="8">
        <v>50.0</v>
      </c>
      <c r="F18" s="8">
        <v>50.0</v>
      </c>
      <c r="G18" s="8" t="s">
        <v>97</v>
      </c>
      <c r="H18" s="8">
        <v>50.0</v>
      </c>
      <c r="I18" s="8">
        <f>81.6*50</f>
        <v>4080</v>
      </c>
      <c r="J18" s="8">
        <f>3.1*50</f>
        <v>155</v>
      </c>
      <c r="K18" s="34">
        <v>100.0</v>
      </c>
      <c r="L18" s="34">
        <f>4.1*50</f>
        <v>205</v>
      </c>
      <c r="M18" s="34">
        <f>9.5*50</f>
        <v>475</v>
      </c>
      <c r="N18" s="34">
        <v>1940.0</v>
      </c>
    </row>
    <row r="19" ht="15.75" customHeight="1">
      <c r="A19" s="6" t="s">
        <v>32</v>
      </c>
      <c r="B19" s="7" t="s">
        <v>33</v>
      </c>
      <c r="C19" s="10" t="s">
        <v>97</v>
      </c>
      <c r="D19" s="10">
        <v>1920.0</v>
      </c>
      <c r="E19" s="10">
        <v>890.0</v>
      </c>
      <c r="F19" s="8" t="s">
        <v>97</v>
      </c>
      <c r="G19" s="8">
        <v>820.0</v>
      </c>
      <c r="H19" s="8" t="s">
        <v>97</v>
      </c>
      <c r="I19" s="8" t="s">
        <v>97</v>
      </c>
      <c r="J19" s="8" t="s">
        <v>97</v>
      </c>
      <c r="K19" s="8" t="s">
        <v>97</v>
      </c>
      <c r="L19" s="34">
        <f>48.1*50</f>
        <v>2405</v>
      </c>
      <c r="M19" s="34" t="s">
        <v>97</v>
      </c>
      <c r="N19" s="36" t="s">
        <v>97</v>
      </c>
    </row>
    <row r="20" ht="15.75" customHeight="1">
      <c r="A20" s="6" t="s">
        <v>34</v>
      </c>
      <c r="B20" s="12" t="s">
        <v>35</v>
      </c>
      <c r="C20" s="10">
        <f>34.3*50</f>
        <v>1715</v>
      </c>
      <c r="D20" s="10">
        <f>16.4*50</f>
        <v>820</v>
      </c>
      <c r="E20" s="8">
        <v>50.0</v>
      </c>
      <c r="F20" s="8">
        <f>9.9*50</f>
        <v>495</v>
      </c>
      <c r="G20" s="8">
        <v>1440.0</v>
      </c>
      <c r="H20" s="8">
        <f>3.1*50</f>
        <v>155</v>
      </c>
      <c r="I20" s="8">
        <f>64.4*50</f>
        <v>3220</v>
      </c>
      <c r="J20" s="8">
        <f>8.6*50</f>
        <v>430</v>
      </c>
      <c r="K20" s="34">
        <f>50*6.3</f>
        <v>315</v>
      </c>
      <c r="L20" s="34">
        <f>15.6*50</f>
        <v>780</v>
      </c>
      <c r="M20" s="34">
        <f>95.9*50</f>
        <v>4795</v>
      </c>
      <c r="N20" s="34">
        <f>9.8*50</f>
        <v>490</v>
      </c>
    </row>
    <row r="21" ht="15.75" customHeight="1">
      <c r="A21" s="6" t="s">
        <v>40</v>
      </c>
      <c r="B21" s="12" t="s">
        <v>41</v>
      </c>
      <c r="C21" s="10">
        <v>1325.0</v>
      </c>
      <c r="D21" s="10" t="s">
        <v>97</v>
      </c>
      <c r="E21" s="8">
        <v>50.0</v>
      </c>
      <c r="F21" s="8">
        <v>100.0</v>
      </c>
      <c r="G21" s="8">
        <f>88.5*50</f>
        <v>4425</v>
      </c>
      <c r="H21" s="8">
        <f>78.2*50</f>
        <v>3910</v>
      </c>
      <c r="I21" s="8">
        <f>46.4*50</f>
        <v>2320</v>
      </c>
      <c r="J21" s="8">
        <f>20.9*50</f>
        <v>1045</v>
      </c>
      <c r="K21" s="34">
        <f>7.4*50</f>
        <v>370</v>
      </c>
      <c r="L21" s="34">
        <f>47.3*50</f>
        <v>2365</v>
      </c>
      <c r="M21" s="34">
        <v>315.0</v>
      </c>
      <c r="N21" s="34">
        <v>205.0</v>
      </c>
    </row>
    <row r="22" ht="15.75" customHeight="1">
      <c r="A22" s="6" t="s">
        <v>45</v>
      </c>
      <c r="B22" s="12" t="s">
        <v>46</v>
      </c>
      <c r="C22" s="10" t="s">
        <v>97</v>
      </c>
      <c r="D22" s="10" t="s">
        <v>97</v>
      </c>
      <c r="E22" s="8">
        <v>50.0</v>
      </c>
      <c r="F22" s="8">
        <f>9.9*50</f>
        <v>495</v>
      </c>
      <c r="G22" s="8" t="s">
        <v>97</v>
      </c>
      <c r="H22" s="8" t="s">
        <v>97</v>
      </c>
      <c r="I22" s="8">
        <f>8.5*50</f>
        <v>425</v>
      </c>
      <c r="J22" s="8" t="s">
        <v>97</v>
      </c>
      <c r="K22" s="34">
        <f>148.3*50</f>
        <v>7415</v>
      </c>
      <c r="L22" s="34">
        <f>6.3*50</f>
        <v>315</v>
      </c>
      <c r="M22" s="34">
        <f>28.5*50</f>
        <v>1425</v>
      </c>
      <c r="N22" s="34">
        <v>155.0</v>
      </c>
    </row>
    <row r="23" ht="15.75" customHeight="1">
      <c r="A23" s="6" t="s">
        <v>47</v>
      </c>
      <c r="B23" s="6" t="s">
        <v>48</v>
      </c>
      <c r="C23" s="10">
        <f>36.4*50</f>
        <v>1820</v>
      </c>
      <c r="D23" s="10">
        <f>12.4*50</f>
        <v>620</v>
      </c>
      <c r="E23" s="8">
        <f>13.7*50</f>
        <v>685</v>
      </c>
      <c r="F23" s="8">
        <f>69.7*50</f>
        <v>3485</v>
      </c>
      <c r="G23" s="8">
        <f>45.3*50</f>
        <v>2265</v>
      </c>
      <c r="H23" s="8">
        <f>12.1*50</f>
        <v>605</v>
      </c>
      <c r="I23" s="8">
        <f>65.7*50</f>
        <v>3285</v>
      </c>
      <c r="J23" s="8">
        <f>9.5*50</f>
        <v>475</v>
      </c>
      <c r="K23" s="34">
        <f>52.1*50</f>
        <v>2605</v>
      </c>
      <c r="L23" s="34">
        <f>55.4*50</f>
        <v>2770</v>
      </c>
      <c r="M23" s="34">
        <f>34.5*50</f>
        <v>1725</v>
      </c>
      <c r="N23" s="34">
        <v>1140.0</v>
      </c>
    </row>
    <row r="24" ht="15.75" customHeight="1">
      <c r="A24" s="6" t="s">
        <v>85</v>
      </c>
      <c r="B24" s="35" t="s">
        <v>86</v>
      </c>
      <c r="C24" s="10">
        <v>4410.0</v>
      </c>
      <c r="D24" s="10">
        <f>16.4*50</f>
        <v>820</v>
      </c>
      <c r="E24" s="8">
        <v>210.0</v>
      </c>
      <c r="F24" s="8">
        <v>265.0</v>
      </c>
      <c r="G24" s="8">
        <f>28.8*50</f>
        <v>1440</v>
      </c>
      <c r="H24" s="8">
        <f>5.3*50</f>
        <v>265</v>
      </c>
      <c r="I24" s="8" t="s">
        <v>97</v>
      </c>
      <c r="J24" s="8">
        <f>69.1*50</f>
        <v>3455</v>
      </c>
      <c r="K24" s="34">
        <f>131.4*50</f>
        <v>6570</v>
      </c>
      <c r="L24" s="34">
        <f>16.1*50</f>
        <v>805</v>
      </c>
      <c r="M24" s="34">
        <f>45.7*50</f>
        <v>2285</v>
      </c>
      <c r="N24" s="34">
        <v>865.0</v>
      </c>
    </row>
    <row r="25" ht="15.75" customHeight="1">
      <c r="A25" s="6" t="s">
        <v>51</v>
      </c>
      <c r="B25" s="12" t="s">
        <v>52</v>
      </c>
      <c r="C25" s="10" t="s">
        <v>97</v>
      </c>
      <c r="D25" s="10">
        <v>100.0</v>
      </c>
      <c r="E25" s="8">
        <f>3.1*50</f>
        <v>155</v>
      </c>
      <c r="F25" s="8">
        <v>50.0</v>
      </c>
      <c r="G25" s="8">
        <f>3.1*50</f>
        <v>155</v>
      </c>
      <c r="H25" s="8">
        <v>100.0</v>
      </c>
      <c r="I25" s="8">
        <f>3.1*50</f>
        <v>155</v>
      </c>
      <c r="J25" s="8">
        <v>50.0</v>
      </c>
      <c r="K25" s="34">
        <v>155.0</v>
      </c>
      <c r="L25" s="34">
        <v>0.0</v>
      </c>
      <c r="M25" s="34">
        <v>0.0</v>
      </c>
      <c r="N25" s="34">
        <v>100.0</v>
      </c>
    </row>
    <row r="26" ht="15.75" customHeight="1">
      <c r="A26" s="6" t="s">
        <v>53</v>
      </c>
      <c r="B26" s="12" t="s">
        <v>54</v>
      </c>
      <c r="C26" s="10" t="s">
        <v>97</v>
      </c>
      <c r="D26" s="10" t="s">
        <v>97</v>
      </c>
      <c r="E26" s="8">
        <v>50.0</v>
      </c>
      <c r="F26" s="8">
        <v>50.0</v>
      </c>
      <c r="G26" s="8">
        <v>50.0</v>
      </c>
      <c r="H26" s="8">
        <v>50.0</v>
      </c>
      <c r="I26" s="8">
        <v>50.0</v>
      </c>
      <c r="J26" s="8">
        <v>50.0</v>
      </c>
      <c r="K26" s="34">
        <v>50.0</v>
      </c>
      <c r="L26" s="34">
        <v>0.0</v>
      </c>
      <c r="M26" s="34">
        <v>0.0</v>
      </c>
      <c r="N26" s="34">
        <v>0.0</v>
      </c>
    </row>
    <row r="27" ht="15.75" customHeight="1">
      <c r="A27" s="6" t="s">
        <v>55</v>
      </c>
      <c r="B27" s="37" t="s">
        <v>93</v>
      </c>
      <c r="C27" s="10" t="s">
        <v>97</v>
      </c>
      <c r="D27" s="10">
        <v>50.0</v>
      </c>
      <c r="E27" s="8">
        <v>50.0</v>
      </c>
      <c r="F27" s="8">
        <v>50.0</v>
      </c>
      <c r="G27" s="8">
        <f>4.2*50</f>
        <v>210</v>
      </c>
      <c r="H27" s="8">
        <f>6.4*50</f>
        <v>320</v>
      </c>
      <c r="I27" s="8">
        <f>24.1*50</f>
        <v>1205</v>
      </c>
      <c r="J27" s="8">
        <v>50.0</v>
      </c>
      <c r="K27" s="34">
        <f>50*4.1</f>
        <v>205</v>
      </c>
      <c r="L27" s="34">
        <f>4.1*50</f>
        <v>205</v>
      </c>
      <c r="M27" s="34">
        <f>6.3*50</f>
        <v>315</v>
      </c>
      <c r="N27" s="34">
        <v>100.0</v>
      </c>
    </row>
    <row r="28" ht="15.75" customHeight="1">
      <c r="A28" s="6" t="s">
        <v>78</v>
      </c>
      <c r="B28" s="37" t="s">
        <v>94</v>
      </c>
      <c r="C28" s="10" t="s">
        <v>97</v>
      </c>
      <c r="D28" s="10" t="s">
        <v>97</v>
      </c>
      <c r="E28" s="10" t="s">
        <v>97</v>
      </c>
      <c r="F28" s="8" t="s">
        <v>97</v>
      </c>
      <c r="G28" s="8" t="s">
        <v>97</v>
      </c>
      <c r="H28" s="8" t="s">
        <v>97</v>
      </c>
      <c r="I28" s="8" t="s">
        <v>97</v>
      </c>
      <c r="J28" s="8" t="s">
        <v>97</v>
      </c>
      <c r="K28" s="8" t="s">
        <v>97</v>
      </c>
      <c r="L28" s="34" t="s">
        <v>97</v>
      </c>
      <c r="M28" s="36" t="s">
        <v>97</v>
      </c>
      <c r="N28" s="34" t="s">
        <v>97</v>
      </c>
    </row>
    <row r="29" ht="15.75" customHeight="1">
      <c r="A29" s="6" t="s">
        <v>57</v>
      </c>
      <c r="B29" s="6" t="s">
        <v>58</v>
      </c>
      <c r="C29" s="10" t="s">
        <v>97</v>
      </c>
      <c r="D29" s="10" t="s">
        <v>97</v>
      </c>
      <c r="E29" s="10" t="s">
        <v>97</v>
      </c>
      <c r="F29" s="8" t="s">
        <v>97</v>
      </c>
      <c r="G29" s="8" t="s">
        <v>97</v>
      </c>
      <c r="H29" s="8" t="s">
        <v>97</v>
      </c>
      <c r="I29" s="8" t="s">
        <v>97</v>
      </c>
      <c r="J29" s="8" t="s">
        <v>97</v>
      </c>
      <c r="K29" s="8" t="s">
        <v>97</v>
      </c>
      <c r="L29" s="34" t="s">
        <v>97</v>
      </c>
      <c r="M29" s="36" t="s">
        <v>97</v>
      </c>
      <c r="N29" s="34" t="s">
        <v>97</v>
      </c>
    </row>
    <row r="30" ht="15.75" customHeight="1">
      <c r="A30" s="6" t="s">
        <v>61</v>
      </c>
      <c r="B30" s="12" t="s">
        <v>62</v>
      </c>
      <c r="C30" s="10">
        <f>73.8*50</f>
        <v>3690</v>
      </c>
      <c r="D30" s="10" t="s">
        <v>97</v>
      </c>
      <c r="E30" s="8">
        <v>155.0</v>
      </c>
      <c r="F30" s="8">
        <f>5.3*50</f>
        <v>265</v>
      </c>
      <c r="G30" s="8">
        <f>15*50</f>
        <v>750</v>
      </c>
      <c r="H30" s="8">
        <f>3.1*50</f>
        <v>155</v>
      </c>
      <c r="I30" s="8">
        <f>15.8*50</f>
        <v>790</v>
      </c>
      <c r="J30" s="8" t="s">
        <v>97</v>
      </c>
      <c r="K30" s="34">
        <f>12.1*50</f>
        <v>605</v>
      </c>
      <c r="L30" s="34" t="s">
        <v>97</v>
      </c>
      <c r="M30" s="36" t="s">
        <v>97</v>
      </c>
      <c r="N30" s="34" t="s">
        <v>97</v>
      </c>
    </row>
    <row r="31" ht="15.75" customHeight="1">
      <c r="A31" s="6" t="s">
        <v>63</v>
      </c>
      <c r="B31" s="12" t="s">
        <v>64</v>
      </c>
      <c r="C31" s="10">
        <v>2320.0</v>
      </c>
      <c r="D31" s="10">
        <v>100.0</v>
      </c>
      <c r="E31" s="8">
        <v>155.0</v>
      </c>
      <c r="F31" s="8">
        <v>50.0</v>
      </c>
      <c r="G31" s="8">
        <f t="shared" ref="G31:H31" si="3">9.9*50</f>
        <v>495</v>
      </c>
      <c r="H31" s="8">
        <f t="shared" si="3"/>
        <v>495</v>
      </c>
      <c r="I31" s="8">
        <f>18.3*50</f>
        <v>915</v>
      </c>
      <c r="J31" s="8">
        <f>37.7*50</f>
        <v>1885</v>
      </c>
      <c r="K31" s="34">
        <f>13.1*50</f>
        <v>655</v>
      </c>
      <c r="L31" s="34">
        <f>12.2*50</f>
        <v>610</v>
      </c>
      <c r="M31" s="36">
        <f>83.9*50</f>
        <v>4195</v>
      </c>
      <c r="N31" s="34">
        <v>430.0</v>
      </c>
    </row>
    <row r="32" ht="15.75" customHeight="1">
      <c r="A32" s="6" t="s">
        <v>65</v>
      </c>
      <c r="B32" s="7" t="s">
        <v>66</v>
      </c>
      <c r="C32" s="10">
        <f>6.3*50</f>
        <v>315</v>
      </c>
      <c r="D32" s="10">
        <v>50.0</v>
      </c>
      <c r="E32" s="8">
        <v>50.0</v>
      </c>
      <c r="F32" s="8">
        <f t="shared" ref="F32:G32" si="4">6.4*50</f>
        <v>320</v>
      </c>
      <c r="G32" s="8">
        <f t="shared" si="4"/>
        <v>320</v>
      </c>
      <c r="H32" s="8">
        <v>100.0</v>
      </c>
      <c r="I32" s="8">
        <v>995.0</v>
      </c>
      <c r="J32" s="8">
        <f>5.2*50</f>
        <v>260</v>
      </c>
      <c r="K32" s="34">
        <f>42.3*50</f>
        <v>2115</v>
      </c>
      <c r="L32" s="34" t="s">
        <v>97</v>
      </c>
      <c r="M32" s="36">
        <f>7.5*50</f>
        <v>375</v>
      </c>
      <c r="N32" s="34">
        <v>260.0</v>
      </c>
    </row>
    <row r="33" ht="15.75" customHeight="1">
      <c r="A33" s="6" t="s">
        <v>67</v>
      </c>
      <c r="B33" s="12" t="s">
        <v>68</v>
      </c>
      <c r="C33" s="10">
        <v>23930.0</v>
      </c>
      <c r="D33" s="10">
        <f>12.4*50</f>
        <v>620</v>
      </c>
      <c r="E33" s="8">
        <v>50.0</v>
      </c>
      <c r="F33" s="8">
        <f>6.4*50</f>
        <v>320</v>
      </c>
      <c r="G33" s="8">
        <f>28.8*50</f>
        <v>1440</v>
      </c>
      <c r="H33" s="8">
        <f>4.2*50</f>
        <v>210</v>
      </c>
      <c r="I33" s="8">
        <f>5.2*50</f>
        <v>260</v>
      </c>
      <c r="J33" s="8">
        <f>4.1*50</f>
        <v>205</v>
      </c>
      <c r="K33" s="34">
        <f>20.3*50</f>
        <v>1015</v>
      </c>
      <c r="L33" s="34">
        <v>0.0</v>
      </c>
      <c r="M33" s="36">
        <f>8.6*50</f>
        <v>430</v>
      </c>
      <c r="N33" s="34">
        <v>100.0</v>
      </c>
    </row>
    <row r="34" ht="15.75" customHeight="1">
      <c r="A34" s="6" t="s">
        <v>69</v>
      </c>
      <c r="B34" s="12" t="s">
        <v>70</v>
      </c>
      <c r="C34" s="10">
        <f>9.6*50</f>
        <v>480</v>
      </c>
      <c r="D34" s="10" t="s">
        <v>97</v>
      </c>
      <c r="E34" s="8">
        <v>50.0</v>
      </c>
      <c r="F34" s="8">
        <v>50.0</v>
      </c>
      <c r="G34" s="8">
        <f>8.7*50</f>
        <v>435</v>
      </c>
      <c r="H34" s="8">
        <f>3.1*50</f>
        <v>155</v>
      </c>
      <c r="I34" s="8">
        <f>12*50</f>
        <v>600</v>
      </c>
      <c r="J34" s="8">
        <v>155.0</v>
      </c>
      <c r="K34" s="34">
        <f>6.3*50</f>
        <v>315</v>
      </c>
      <c r="L34" s="34">
        <f>7.3*50</f>
        <v>365</v>
      </c>
      <c r="M34" s="36">
        <f>6.3*50</f>
        <v>315</v>
      </c>
      <c r="N34" s="34">
        <v>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63"/>
    <col customWidth="1" min="2" max="2" width="35.63"/>
  </cols>
  <sheetData>
    <row r="1">
      <c r="A1" s="38" t="s">
        <v>0</v>
      </c>
      <c r="B1" s="39" t="s">
        <v>1</v>
      </c>
      <c r="C1" s="40">
        <v>46162.0</v>
      </c>
      <c r="D1" s="41">
        <v>46169.0</v>
      </c>
      <c r="E1" s="42">
        <v>46176.0</v>
      </c>
      <c r="F1" s="42">
        <v>46183.0</v>
      </c>
      <c r="G1" s="41">
        <v>46190.0</v>
      </c>
      <c r="H1" s="41">
        <v>46197.0</v>
      </c>
      <c r="I1" s="41">
        <v>46204.0</v>
      </c>
      <c r="J1" s="41">
        <v>46211.0</v>
      </c>
      <c r="K1" s="43"/>
      <c r="L1" s="43"/>
      <c r="M1" s="43"/>
      <c r="N1" s="43"/>
    </row>
    <row r="2">
      <c r="A2" s="38" t="s">
        <v>2</v>
      </c>
      <c r="B2" s="44" t="s">
        <v>3</v>
      </c>
      <c r="C2" s="45"/>
      <c r="D2" s="46">
        <v>315.0</v>
      </c>
      <c r="E2" s="47">
        <v>100.0</v>
      </c>
      <c r="F2" s="47">
        <v>100.0</v>
      </c>
      <c r="G2" s="47">
        <v>100.0</v>
      </c>
      <c r="H2" s="47">
        <v>1750.0</v>
      </c>
      <c r="I2" s="47">
        <v>205.0</v>
      </c>
      <c r="J2" s="44"/>
      <c r="K2" s="48"/>
      <c r="L2" s="48"/>
      <c r="M2" s="48"/>
      <c r="N2" s="48"/>
    </row>
    <row r="3">
      <c r="A3" s="44" t="s">
        <v>80</v>
      </c>
      <c r="B3" s="38" t="s">
        <v>100</v>
      </c>
      <c r="C3" s="46">
        <v>1205.0</v>
      </c>
      <c r="D3" s="46">
        <v>855.0</v>
      </c>
      <c r="E3" s="47">
        <v>1005.0</v>
      </c>
      <c r="F3" s="47">
        <v>855.0</v>
      </c>
      <c r="G3" s="47">
        <v>50.0</v>
      </c>
      <c r="H3" s="47">
        <v>260.0</v>
      </c>
      <c r="I3" s="47">
        <v>205.0</v>
      </c>
      <c r="J3" s="47">
        <v>308.8</v>
      </c>
      <c r="K3" s="49"/>
      <c r="L3" s="49"/>
      <c r="M3" s="49"/>
      <c r="N3" s="49"/>
    </row>
    <row r="4">
      <c r="A4" s="38" t="s">
        <v>4</v>
      </c>
      <c r="B4" s="44" t="s">
        <v>5</v>
      </c>
      <c r="C4" s="45"/>
      <c r="D4" s="46">
        <v>1965.0</v>
      </c>
      <c r="E4" s="47">
        <v>4165.0</v>
      </c>
      <c r="F4" s="47">
        <v>205.0</v>
      </c>
      <c r="G4" s="47">
        <v>205.0</v>
      </c>
      <c r="H4" s="47">
        <v>260.0</v>
      </c>
      <c r="I4" s="47">
        <v>315.0</v>
      </c>
      <c r="J4" s="47">
        <v>75.4</v>
      </c>
      <c r="K4" s="49"/>
      <c r="L4" s="49"/>
      <c r="M4" s="49"/>
      <c r="N4" s="49"/>
    </row>
    <row r="5">
      <c r="A5" s="44" t="s">
        <v>101</v>
      </c>
      <c r="B5" s="44" t="s">
        <v>102</v>
      </c>
      <c r="C5" s="45"/>
      <c r="D5" s="45"/>
      <c r="E5" s="47">
        <v>0.0</v>
      </c>
      <c r="F5" s="44"/>
      <c r="G5" s="44"/>
      <c r="H5" s="44"/>
      <c r="I5" s="44"/>
      <c r="J5" s="44"/>
      <c r="K5" s="48"/>
      <c r="L5" s="48"/>
      <c r="M5" s="48"/>
      <c r="N5" s="48"/>
    </row>
    <row r="6">
      <c r="A6" s="44" t="s">
        <v>8</v>
      </c>
      <c r="B6" s="44" t="s">
        <v>9</v>
      </c>
      <c r="C6" s="46">
        <v>0.0</v>
      </c>
      <c r="D6" s="45"/>
      <c r="E6" s="45"/>
      <c r="F6" s="44"/>
      <c r="G6" s="47">
        <v>100.0</v>
      </c>
      <c r="H6" s="47">
        <v>0.0</v>
      </c>
      <c r="I6" s="47">
        <v>155.0</v>
      </c>
      <c r="J6" s="47">
        <v>20.9</v>
      </c>
      <c r="K6" s="49"/>
      <c r="L6" s="49"/>
      <c r="M6" s="49"/>
      <c r="N6" s="49"/>
    </row>
    <row r="7">
      <c r="A7" s="44" t="s">
        <v>98</v>
      </c>
      <c r="B7" s="38" t="s">
        <v>103</v>
      </c>
      <c r="C7" s="46">
        <v>50.0</v>
      </c>
      <c r="D7" s="46">
        <v>3350.0</v>
      </c>
      <c r="E7" s="47">
        <v>155.0</v>
      </c>
      <c r="F7" s="44"/>
      <c r="G7" s="47">
        <v>260.0</v>
      </c>
      <c r="H7" s="47">
        <v>420.0</v>
      </c>
      <c r="I7" s="47">
        <v>155.0</v>
      </c>
      <c r="J7" s="47">
        <v>285.1</v>
      </c>
      <c r="K7" s="49"/>
      <c r="L7" s="49"/>
      <c r="M7" s="49"/>
      <c r="N7" s="49"/>
    </row>
    <row r="8">
      <c r="A8" s="38" t="s">
        <v>10</v>
      </c>
      <c r="B8" s="44" t="s">
        <v>11</v>
      </c>
      <c r="C8" s="45"/>
      <c r="D8" s="45"/>
      <c r="E8" s="44"/>
      <c r="F8" s="44"/>
      <c r="G8" s="47">
        <v>0.0</v>
      </c>
      <c r="H8" s="44"/>
      <c r="I8" s="47">
        <v>610.0</v>
      </c>
      <c r="J8" s="44"/>
      <c r="K8" s="48"/>
      <c r="L8" s="48"/>
      <c r="M8" s="48"/>
      <c r="N8" s="48"/>
    </row>
    <row r="9">
      <c r="A9" s="38" t="s">
        <v>30</v>
      </c>
      <c r="B9" s="44" t="s">
        <v>31</v>
      </c>
      <c r="C9" s="46">
        <v>150.0</v>
      </c>
      <c r="D9" s="45"/>
      <c r="E9" s="47">
        <v>50.0</v>
      </c>
      <c r="F9" s="47">
        <v>260.0</v>
      </c>
      <c r="G9" s="47">
        <v>50.0</v>
      </c>
      <c r="H9" s="47">
        <v>0.0</v>
      </c>
      <c r="I9" s="47">
        <v>430.0</v>
      </c>
      <c r="J9" s="47">
        <v>32.8</v>
      </c>
      <c r="K9" s="49"/>
      <c r="L9" s="49"/>
      <c r="M9" s="49"/>
      <c r="N9" s="49"/>
    </row>
    <row r="10">
      <c r="A10" s="44" t="s">
        <v>14</v>
      </c>
      <c r="B10" s="44" t="s">
        <v>15</v>
      </c>
      <c r="C10" s="46">
        <v>205.0</v>
      </c>
      <c r="D10" s="46">
        <v>3530.0</v>
      </c>
      <c r="E10" s="47">
        <v>315.0</v>
      </c>
      <c r="F10" s="47">
        <v>1065.0</v>
      </c>
      <c r="G10" s="50">
        <v>490.0</v>
      </c>
      <c r="H10" s="47">
        <v>205.0</v>
      </c>
      <c r="I10" s="47">
        <v>205.0</v>
      </c>
      <c r="J10" s="51">
        <v>365.4</v>
      </c>
      <c r="K10" s="36"/>
      <c r="L10" s="36"/>
      <c r="M10" s="36"/>
      <c r="N10" s="36"/>
    </row>
    <row r="11">
      <c r="A11" s="44" t="s">
        <v>16</v>
      </c>
      <c r="B11" s="44" t="s">
        <v>17</v>
      </c>
      <c r="C11" s="46">
        <v>100.0</v>
      </c>
      <c r="D11" s="46">
        <v>2275.0</v>
      </c>
      <c r="E11" s="47">
        <v>420.0</v>
      </c>
      <c r="F11" s="47">
        <v>995.0</v>
      </c>
      <c r="G11" s="47">
        <v>255.0</v>
      </c>
      <c r="H11" s="47">
        <v>155.0</v>
      </c>
      <c r="I11" s="47">
        <v>260.0</v>
      </c>
      <c r="J11" s="51">
        <v>648.8</v>
      </c>
      <c r="K11" s="36"/>
      <c r="L11" s="36"/>
      <c r="M11" s="36"/>
      <c r="N11" s="36"/>
    </row>
    <row r="12">
      <c r="A12" s="38" t="s">
        <v>89</v>
      </c>
      <c r="B12" s="44" t="s">
        <v>19</v>
      </c>
      <c r="C12" s="46">
        <v>0.0</v>
      </c>
      <c r="D12" s="46">
        <v>3585.0</v>
      </c>
      <c r="E12" s="47">
        <v>315.0</v>
      </c>
      <c r="F12" s="47">
        <v>420.0</v>
      </c>
      <c r="G12" s="47">
        <v>150.0</v>
      </c>
      <c r="H12" s="47">
        <v>100.0</v>
      </c>
      <c r="I12" s="47">
        <v>260.0</v>
      </c>
      <c r="J12" s="51">
        <v>116.9</v>
      </c>
      <c r="K12" s="36"/>
      <c r="L12" s="36"/>
      <c r="M12" s="36"/>
      <c r="N12" s="36"/>
    </row>
    <row r="13">
      <c r="A13" s="44" t="s">
        <v>20</v>
      </c>
      <c r="B13" s="44" t="s">
        <v>21</v>
      </c>
      <c r="C13" s="46">
        <v>0.0</v>
      </c>
      <c r="D13" s="46">
        <v>4759.0</v>
      </c>
      <c r="E13" s="47">
        <v>260.0</v>
      </c>
      <c r="F13" s="47">
        <v>1205.0</v>
      </c>
      <c r="G13" s="47">
        <v>50.0</v>
      </c>
      <c r="H13" s="47">
        <v>100.0</v>
      </c>
      <c r="I13" s="47">
        <v>100.0</v>
      </c>
      <c r="J13" s="51">
        <v>45.2</v>
      </c>
      <c r="K13" s="36"/>
      <c r="L13" s="36"/>
      <c r="M13" s="36"/>
      <c r="N13" s="36"/>
    </row>
    <row r="14">
      <c r="A14" s="44" t="s">
        <v>104</v>
      </c>
      <c r="B14" s="38" t="s">
        <v>105</v>
      </c>
      <c r="C14" s="46">
        <v>0.0</v>
      </c>
      <c r="D14" s="46">
        <v>2730.0</v>
      </c>
      <c r="E14" s="47">
        <v>50.0</v>
      </c>
      <c r="F14" s="47">
        <v>100.0</v>
      </c>
      <c r="G14" s="47">
        <v>50.0</v>
      </c>
      <c r="H14" s="47">
        <v>0.0</v>
      </c>
      <c r="I14" s="47">
        <v>205.0</v>
      </c>
      <c r="J14" s="51">
        <v>35.9</v>
      </c>
      <c r="K14" s="36"/>
      <c r="L14" s="36"/>
      <c r="M14" s="36"/>
      <c r="N14" s="36"/>
    </row>
    <row r="15">
      <c r="A15" s="44" t="s">
        <v>106</v>
      </c>
      <c r="B15" s="38" t="s">
        <v>107</v>
      </c>
      <c r="C15" s="46">
        <v>0.0</v>
      </c>
      <c r="D15" s="46">
        <v>0.0</v>
      </c>
      <c r="E15" s="47">
        <v>100.0</v>
      </c>
      <c r="F15" s="47">
        <v>100.0</v>
      </c>
      <c r="G15" s="47">
        <v>0.0</v>
      </c>
      <c r="H15" s="47">
        <v>0.0</v>
      </c>
      <c r="I15" s="47">
        <v>205.0</v>
      </c>
      <c r="J15" s="51">
        <v>44.6</v>
      </c>
      <c r="K15" s="36"/>
      <c r="L15" s="36"/>
      <c r="M15" s="36"/>
      <c r="N15" s="36"/>
    </row>
    <row r="16">
      <c r="A16" s="44" t="s">
        <v>24</v>
      </c>
      <c r="B16" s="44" t="s">
        <v>25</v>
      </c>
      <c r="C16" s="52">
        <v>50.0</v>
      </c>
      <c r="D16" s="46">
        <v>4540.0</v>
      </c>
      <c r="E16" s="47">
        <v>205.0</v>
      </c>
      <c r="F16" s="47">
        <v>155.0</v>
      </c>
      <c r="G16" s="47">
        <v>100.0</v>
      </c>
      <c r="H16" s="47">
        <v>0.0</v>
      </c>
      <c r="I16" s="47">
        <v>915.0</v>
      </c>
      <c r="J16" s="51">
        <v>517.2</v>
      </c>
      <c r="K16" s="36"/>
      <c r="L16" s="36"/>
      <c r="M16" s="36"/>
      <c r="N16" s="36"/>
    </row>
    <row r="17">
      <c r="A17" s="38" t="s">
        <v>26</v>
      </c>
      <c r="B17" s="44" t="s">
        <v>27</v>
      </c>
      <c r="C17" s="45"/>
      <c r="D17" s="46">
        <v>2815.0</v>
      </c>
      <c r="E17" s="47">
        <v>315.0</v>
      </c>
      <c r="F17" s="47">
        <v>155.0</v>
      </c>
      <c r="G17" s="47">
        <v>100.0</v>
      </c>
      <c r="H17" s="47">
        <v>370.0</v>
      </c>
      <c r="I17" s="47">
        <v>375.0</v>
      </c>
      <c r="J17" s="51">
        <v>154.1</v>
      </c>
      <c r="K17" s="36"/>
      <c r="L17" s="36"/>
      <c r="M17" s="36"/>
      <c r="N17" s="36"/>
    </row>
    <row r="18">
      <c r="A18" s="44" t="s">
        <v>108</v>
      </c>
      <c r="B18" s="38" t="s">
        <v>109</v>
      </c>
      <c r="C18" s="46">
        <v>205.0</v>
      </c>
      <c r="D18" s="46">
        <v>2970.0</v>
      </c>
      <c r="E18" s="47">
        <v>100.0</v>
      </c>
      <c r="F18" s="47">
        <v>155.0</v>
      </c>
      <c r="G18" s="47">
        <v>315.0</v>
      </c>
      <c r="H18" s="47">
        <v>315.0</v>
      </c>
      <c r="I18" s="44"/>
      <c r="J18" s="51">
        <v>222.4</v>
      </c>
      <c r="K18" s="36"/>
      <c r="L18" s="36"/>
      <c r="M18" s="36"/>
      <c r="N18" s="36"/>
    </row>
    <row r="19">
      <c r="A19" s="44" t="s">
        <v>76</v>
      </c>
      <c r="B19" s="38" t="s">
        <v>110</v>
      </c>
      <c r="C19" s="44"/>
      <c r="D19" s="45"/>
      <c r="E19" s="44"/>
      <c r="F19" s="47">
        <v>0.0</v>
      </c>
      <c r="G19" s="47">
        <v>50.0</v>
      </c>
      <c r="H19" s="47">
        <v>0.0</v>
      </c>
      <c r="I19" s="47">
        <v>205.0</v>
      </c>
      <c r="J19" s="47">
        <v>101.2</v>
      </c>
      <c r="K19" s="49"/>
      <c r="L19" s="49"/>
      <c r="M19" s="49"/>
      <c r="N19" s="49"/>
    </row>
    <row r="20">
      <c r="A20" s="44" t="s">
        <v>32</v>
      </c>
      <c r="B20" s="38" t="s">
        <v>111</v>
      </c>
      <c r="C20" s="45"/>
      <c r="D20" s="45"/>
      <c r="E20" s="45"/>
      <c r="F20" s="44"/>
      <c r="G20" s="44"/>
      <c r="H20" s="44"/>
      <c r="I20" s="47">
        <v>370.0</v>
      </c>
      <c r="J20" s="44"/>
      <c r="K20" s="48"/>
      <c r="L20" s="48"/>
      <c r="M20" s="48"/>
      <c r="N20" s="48"/>
    </row>
    <row r="21">
      <c r="A21" s="38" t="s">
        <v>34</v>
      </c>
      <c r="B21" s="44" t="s">
        <v>35</v>
      </c>
      <c r="C21" s="46">
        <v>50.0</v>
      </c>
      <c r="D21" s="46">
        <v>1395.0</v>
      </c>
      <c r="E21" s="47">
        <v>0.0</v>
      </c>
      <c r="F21" s="47">
        <v>200.0</v>
      </c>
      <c r="G21" s="47">
        <v>485.0</v>
      </c>
      <c r="H21" s="47">
        <v>485.0</v>
      </c>
      <c r="I21" s="47">
        <v>1065.0</v>
      </c>
      <c r="J21" s="47">
        <v>91.2</v>
      </c>
      <c r="K21" s="49"/>
      <c r="L21" s="49"/>
      <c r="M21" s="49"/>
      <c r="N21" s="49"/>
    </row>
    <row r="22">
      <c r="A22" s="38" t="s">
        <v>40</v>
      </c>
      <c r="B22" s="44" t="s">
        <v>41</v>
      </c>
      <c r="C22" s="46">
        <v>315.0</v>
      </c>
      <c r="D22" s="46">
        <v>2480.0</v>
      </c>
      <c r="E22" s="47">
        <v>540.0</v>
      </c>
      <c r="F22" s="47">
        <v>4665.0</v>
      </c>
      <c r="G22" s="47">
        <v>430.0</v>
      </c>
      <c r="H22" s="47">
        <v>100.0</v>
      </c>
      <c r="I22" s="47">
        <v>260.0</v>
      </c>
      <c r="J22" s="47">
        <v>960.6</v>
      </c>
      <c r="K22" s="49"/>
      <c r="L22" s="49"/>
      <c r="M22" s="49"/>
      <c r="N22" s="49"/>
    </row>
    <row r="23">
      <c r="A23" s="44" t="s">
        <v>47</v>
      </c>
      <c r="B23" s="44" t="s">
        <v>48</v>
      </c>
      <c r="C23" s="46">
        <v>205.0</v>
      </c>
      <c r="D23" s="46">
        <v>2560.0</v>
      </c>
      <c r="E23" s="47">
        <v>260.0</v>
      </c>
      <c r="F23" s="47">
        <v>4065.0</v>
      </c>
      <c r="G23" s="47">
        <v>995.0</v>
      </c>
      <c r="H23" s="47">
        <v>420.0</v>
      </c>
      <c r="I23" s="47">
        <v>1310.0</v>
      </c>
      <c r="J23" s="47">
        <v>248.9</v>
      </c>
      <c r="K23" s="49"/>
      <c r="L23" s="49"/>
      <c r="M23" s="49"/>
      <c r="N23" s="49"/>
    </row>
    <row r="24">
      <c r="A24" s="44" t="s">
        <v>85</v>
      </c>
      <c r="B24" s="38" t="s">
        <v>86</v>
      </c>
      <c r="C24" s="46">
        <v>710.0</v>
      </c>
      <c r="D24" s="46">
        <v>1750.0</v>
      </c>
      <c r="E24" s="47">
        <v>985.0</v>
      </c>
      <c r="F24" s="47">
        <v>3100.0</v>
      </c>
      <c r="G24" s="47">
        <v>845.0</v>
      </c>
      <c r="H24" s="47">
        <v>1750.0</v>
      </c>
      <c r="I24" s="47">
        <v>5380.0</v>
      </c>
      <c r="J24" s="47">
        <v>524.7</v>
      </c>
      <c r="K24" s="49"/>
      <c r="L24" s="49"/>
      <c r="M24" s="49"/>
      <c r="N24" s="49"/>
    </row>
    <row r="25">
      <c r="A25" s="44" t="s">
        <v>112</v>
      </c>
      <c r="B25" s="38" t="s">
        <v>113</v>
      </c>
      <c r="C25" s="44"/>
      <c r="D25" s="44"/>
      <c r="E25" s="47">
        <v>0.0</v>
      </c>
      <c r="F25" s="44"/>
      <c r="G25" s="44"/>
      <c r="H25" s="44"/>
      <c r="I25" s="44"/>
      <c r="J25" s="44"/>
      <c r="K25" s="48"/>
      <c r="L25" s="48"/>
      <c r="M25" s="48"/>
      <c r="N25" s="48"/>
    </row>
    <row r="26">
      <c r="A26" s="44" t="s">
        <v>114</v>
      </c>
      <c r="B26" s="38" t="s">
        <v>115</v>
      </c>
      <c r="C26" s="44"/>
      <c r="D26" s="44"/>
      <c r="E26" s="47">
        <v>0.0</v>
      </c>
      <c r="F26" s="44"/>
      <c r="G26" s="44"/>
      <c r="H26" s="44"/>
      <c r="I26" s="44"/>
      <c r="J26" s="47">
        <v>2.0</v>
      </c>
      <c r="K26" s="49"/>
      <c r="L26" s="49"/>
      <c r="M26" s="49"/>
      <c r="N26" s="49"/>
    </row>
    <row r="27">
      <c r="A27" s="44" t="s">
        <v>116</v>
      </c>
      <c r="B27" s="38" t="s">
        <v>117</v>
      </c>
      <c r="C27" s="44"/>
      <c r="D27" s="44"/>
      <c r="E27" s="47">
        <v>315.0</v>
      </c>
      <c r="F27" s="44"/>
      <c r="G27" s="44"/>
      <c r="H27" s="44"/>
      <c r="I27" s="44"/>
      <c r="J27" s="44"/>
      <c r="K27" s="48"/>
      <c r="L27" s="48"/>
      <c r="M27" s="48"/>
      <c r="N27" s="48"/>
    </row>
    <row r="28">
      <c r="A28" s="44" t="s">
        <v>118</v>
      </c>
      <c r="B28" s="38" t="s">
        <v>119</v>
      </c>
      <c r="C28" s="44"/>
      <c r="D28" s="44"/>
      <c r="E28" s="47">
        <v>0.0</v>
      </c>
      <c r="F28" s="44"/>
      <c r="G28" s="44"/>
      <c r="H28" s="44"/>
      <c r="I28" s="44"/>
      <c r="J28" s="44"/>
      <c r="K28" s="48"/>
      <c r="L28" s="48"/>
      <c r="M28" s="48"/>
      <c r="N28" s="48"/>
    </row>
    <row r="29">
      <c r="A29" s="53" t="s">
        <v>51</v>
      </c>
      <c r="B29" s="44" t="s">
        <v>52</v>
      </c>
      <c r="C29" s="45"/>
      <c r="D29" s="45"/>
      <c r="E29" s="44"/>
      <c r="F29" s="44"/>
      <c r="G29" s="44"/>
      <c r="H29" s="44"/>
      <c r="I29" s="44"/>
      <c r="J29" s="44"/>
      <c r="K29" s="48"/>
      <c r="L29" s="48"/>
      <c r="M29" s="48"/>
      <c r="N29" s="48"/>
    </row>
    <row r="30">
      <c r="A30" s="38" t="s">
        <v>57</v>
      </c>
      <c r="B30" s="44" t="s">
        <v>58</v>
      </c>
      <c r="C30" s="45"/>
      <c r="D30" s="45"/>
      <c r="E30" s="45"/>
      <c r="F30" s="44"/>
      <c r="G30" s="44"/>
      <c r="H30" s="44"/>
      <c r="I30" s="44"/>
      <c r="J30" s="44"/>
      <c r="K30" s="48"/>
      <c r="L30" s="48"/>
      <c r="M30" s="48"/>
      <c r="N30" s="48"/>
    </row>
    <row r="31">
      <c r="A31" s="38" t="s">
        <v>53</v>
      </c>
      <c r="B31" s="44" t="s">
        <v>54</v>
      </c>
      <c r="C31" s="46">
        <v>0.0</v>
      </c>
      <c r="D31" s="45"/>
      <c r="E31" s="47">
        <v>155.0</v>
      </c>
      <c r="F31" s="47">
        <v>0.0</v>
      </c>
      <c r="G31" s="47">
        <v>0.0</v>
      </c>
      <c r="H31" s="47">
        <v>0.0</v>
      </c>
      <c r="I31" s="47">
        <v>100.0</v>
      </c>
      <c r="J31" s="47">
        <v>91.0</v>
      </c>
      <c r="K31" s="49"/>
      <c r="L31" s="49"/>
      <c r="M31" s="49"/>
      <c r="N31" s="49"/>
    </row>
    <row r="32">
      <c r="A32" s="44" t="s">
        <v>55</v>
      </c>
      <c r="B32" s="44" t="s">
        <v>93</v>
      </c>
      <c r="C32" s="46">
        <v>155.0</v>
      </c>
      <c r="D32" s="46">
        <v>1705.0</v>
      </c>
      <c r="E32" s="47">
        <v>100.0</v>
      </c>
      <c r="F32" s="47">
        <v>205.0</v>
      </c>
      <c r="G32" s="47">
        <v>100.0</v>
      </c>
      <c r="H32" s="47">
        <v>260.0</v>
      </c>
      <c r="I32" s="47">
        <v>260.0</v>
      </c>
      <c r="J32" s="47">
        <v>2419.6</v>
      </c>
      <c r="K32" s="49"/>
      <c r="L32" s="49"/>
      <c r="M32" s="49"/>
      <c r="N32" s="49"/>
    </row>
    <row r="33">
      <c r="A33" s="44" t="s">
        <v>120</v>
      </c>
      <c r="B33" s="44"/>
      <c r="C33" s="46">
        <v>0.0</v>
      </c>
      <c r="D33" s="46">
        <v>1215.0</v>
      </c>
      <c r="E33" s="47">
        <v>100.0</v>
      </c>
      <c r="F33" s="47">
        <v>0.0</v>
      </c>
      <c r="G33" s="47">
        <v>50.0</v>
      </c>
      <c r="H33" s="47">
        <v>260.0</v>
      </c>
      <c r="I33" s="47">
        <v>100.0</v>
      </c>
      <c r="J33" s="47">
        <v>640.5</v>
      </c>
      <c r="K33" s="49"/>
      <c r="L33" s="49"/>
      <c r="M33" s="49"/>
      <c r="N33" s="49"/>
    </row>
    <row r="34">
      <c r="A34" s="44" t="s">
        <v>121</v>
      </c>
      <c r="B34" s="44"/>
      <c r="C34" s="45"/>
      <c r="D34" s="45"/>
      <c r="E34" s="46">
        <v>260.0</v>
      </c>
      <c r="F34" s="44"/>
      <c r="G34" s="44"/>
      <c r="H34" s="44"/>
      <c r="I34" s="44"/>
      <c r="J34" s="44"/>
      <c r="K34" s="48"/>
      <c r="L34" s="48"/>
      <c r="M34" s="48"/>
      <c r="N34" s="48"/>
    </row>
    <row r="35">
      <c r="A35" s="38" t="s">
        <v>61</v>
      </c>
      <c r="B35" s="44" t="s">
        <v>62</v>
      </c>
      <c r="C35" s="46">
        <v>315.0</v>
      </c>
      <c r="D35" s="46">
        <v>550.0</v>
      </c>
      <c r="E35" s="47">
        <v>430.0</v>
      </c>
      <c r="F35" s="47">
        <v>425.0</v>
      </c>
      <c r="G35" s="47">
        <v>610.0</v>
      </c>
      <c r="H35" s="47">
        <v>155.0</v>
      </c>
      <c r="I35" s="47">
        <v>315.0</v>
      </c>
      <c r="J35" s="47">
        <v>48.3</v>
      </c>
      <c r="K35" s="49"/>
      <c r="L35" s="49"/>
      <c r="M35" s="49"/>
      <c r="N35" s="49"/>
    </row>
    <row r="36">
      <c r="A36" s="38" t="s">
        <v>63</v>
      </c>
      <c r="B36" s="44" t="s">
        <v>64</v>
      </c>
      <c r="C36" s="46">
        <v>315.0</v>
      </c>
      <c r="D36" s="46">
        <v>725.0</v>
      </c>
      <c r="E36" s="47">
        <v>1130.0</v>
      </c>
      <c r="F36" s="47">
        <v>1505.0</v>
      </c>
      <c r="G36" s="47">
        <v>550.0</v>
      </c>
      <c r="H36" s="47">
        <v>1460.0</v>
      </c>
      <c r="I36" s="47">
        <v>2905.0</v>
      </c>
      <c r="J36" s="44"/>
      <c r="K36" s="48"/>
      <c r="L36" s="48"/>
      <c r="M36" s="48"/>
      <c r="N36" s="48"/>
    </row>
    <row r="37">
      <c r="A37" s="44" t="s">
        <v>122</v>
      </c>
      <c r="B37" s="38" t="s">
        <v>123</v>
      </c>
      <c r="C37" s="45"/>
      <c r="D37" s="45"/>
      <c r="E37" s="44"/>
      <c r="F37" s="44"/>
      <c r="G37" s="44"/>
      <c r="H37" s="44"/>
      <c r="I37" s="44"/>
      <c r="J37" s="44"/>
      <c r="K37" s="48"/>
      <c r="L37" s="48"/>
      <c r="M37" s="48"/>
      <c r="N37" s="48"/>
    </row>
    <row r="38">
      <c r="A38" s="44" t="s">
        <v>124</v>
      </c>
      <c r="B38" s="38" t="s">
        <v>125</v>
      </c>
      <c r="C38" s="45"/>
      <c r="D38" s="52">
        <v>490.0</v>
      </c>
      <c r="E38" s="47">
        <v>100.0</v>
      </c>
      <c r="F38" s="47">
        <v>155.0</v>
      </c>
      <c r="G38" s="47">
        <v>50.0</v>
      </c>
      <c r="H38" s="47">
        <v>0.0</v>
      </c>
      <c r="I38" s="47">
        <v>375.0</v>
      </c>
      <c r="J38" s="44"/>
      <c r="K38" s="48"/>
      <c r="L38" s="48"/>
      <c r="M38" s="48"/>
      <c r="N38" s="48"/>
    </row>
    <row r="39">
      <c r="A39" s="38" t="s">
        <v>67</v>
      </c>
      <c r="B39" s="44" t="s">
        <v>68</v>
      </c>
      <c r="C39" s="46">
        <v>205.0</v>
      </c>
      <c r="D39" s="45"/>
      <c r="E39" s="47">
        <v>260.0</v>
      </c>
      <c r="F39" s="47">
        <v>0.0</v>
      </c>
      <c r="G39" s="47">
        <v>365.0</v>
      </c>
      <c r="H39" s="47">
        <v>260.0</v>
      </c>
      <c r="I39" s="47">
        <v>205.0</v>
      </c>
      <c r="J39" s="47">
        <v>68.2</v>
      </c>
      <c r="K39" s="49"/>
      <c r="L39" s="49"/>
      <c r="M39" s="49"/>
      <c r="N39" s="49"/>
    </row>
    <row r="40">
      <c r="A40" s="38" t="s">
        <v>69</v>
      </c>
      <c r="B40" s="54" t="s">
        <v>70</v>
      </c>
      <c r="C40" s="46">
        <v>205.0</v>
      </c>
      <c r="D40" s="46">
        <v>205.0</v>
      </c>
      <c r="E40" s="47">
        <v>50.0</v>
      </c>
      <c r="F40" s="47">
        <v>430.0</v>
      </c>
      <c r="G40" s="47">
        <v>50.0</v>
      </c>
      <c r="H40" s="50">
        <v>100.0</v>
      </c>
      <c r="I40" s="47">
        <v>100.0</v>
      </c>
      <c r="J40" s="47">
        <v>1732.9</v>
      </c>
      <c r="K40" s="49"/>
      <c r="L40" s="49"/>
      <c r="M40" s="49"/>
      <c r="N40" s="49"/>
    </row>
    <row r="41">
      <c r="A41" s="44" t="s">
        <v>6</v>
      </c>
      <c r="B41" s="38" t="s">
        <v>7</v>
      </c>
      <c r="C41" s="44"/>
      <c r="D41" s="44"/>
      <c r="E41" s="44"/>
      <c r="F41" s="44"/>
      <c r="G41" s="44"/>
      <c r="H41" s="47">
        <v>100.0</v>
      </c>
      <c r="I41" s="44"/>
      <c r="J41" s="55"/>
      <c r="K41" s="56"/>
      <c r="L41" s="56"/>
      <c r="M41" s="56"/>
      <c r="N41" s="56"/>
    </row>
    <row r="42">
      <c r="A42" s="44" t="s">
        <v>126</v>
      </c>
      <c r="B42" s="44"/>
      <c r="C42" s="44"/>
      <c r="D42" s="44"/>
      <c r="E42" s="44"/>
      <c r="F42" s="44"/>
      <c r="G42" s="44"/>
      <c r="H42" s="44"/>
      <c r="I42" s="47">
        <v>50.0</v>
      </c>
      <c r="J42" s="51">
        <v>17.1</v>
      </c>
      <c r="K42" s="36"/>
      <c r="L42" s="36"/>
      <c r="M42" s="36"/>
      <c r="N42" s="36"/>
    </row>
    <row r="43">
      <c r="A43" s="44" t="s">
        <v>127</v>
      </c>
      <c r="B43" s="44"/>
      <c r="C43" s="44"/>
      <c r="D43" s="44"/>
      <c r="E43" s="44"/>
      <c r="F43" s="44"/>
      <c r="G43" s="44"/>
      <c r="H43" s="44"/>
      <c r="I43" s="47">
        <v>260.0</v>
      </c>
      <c r="J43" s="47">
        <v>38.1</v>
      </c>
      <c r="K43" s="49"/>
      <c r="L43" s="49"/>
      <c r="M43" s="49"/>
      <c r="N43" s="49"/>
    </row>
    <row r="44">
      <c r="A44" s="44" t="s">
        <v>128</v>
      </c>
      <c r="B44" s="44"/>
      <c r="C44" s="44"/>
      <c r="D44" s="44"/>
      <c r="E44" s="44"/>
      <c r="F44" s="44"/>
      <c r="G44" s="44"/>
      <c r="H44" s="44"/>
      <c r="I44" s="47">
        <v>50.0</v>
      </c>
      <c r="J44" s="47">
        <v>4.1</v>
      </c>
      <c r="K44" s="49"/>
      <c r="L44" s="49"/>
      <c r="M44" s="49"/>
      <c r="N44" s="49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</row>
  </sheetData>
  <drawing r:id="rId2"/>
  <legacyDrawing r:id="rId3"/>
</worksheet>
</file>